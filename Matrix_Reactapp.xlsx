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jashm\datacom_test\"/>
    </mc:Choice>
  </mc:AlternateContent>
  <xr:revisionPtr revIDLastSave="0" documentId="13_ncr:1_{71F63EC1-5DB3-4E7F-A096-780073B418A3}" xr6:coauthVersionLast="47" xr6:coauthVersionMax="47" xr10:uidLastSave="{00000000-0000-0000-0000-000000000000}"/>
  <bookViews>
    <workbookView xWindow="-120" yWindow="-120" windowWidth="29040" windowHeight="15225" xr2:uid="{00000000-000D-0000-FFFF-FFFF00000000}"/>
  </bookViews>
  <sheets>
    <sheet name="Summary" sheetId="1" r:id="rId1"/>
    <sheet name="Scenarios" sheetId="2" r:id="rId2"/>
    <sheet name="Defects" sheetId="3" r:id="rId3"/>
  </sheets>
  <definedNames>
    <definedName name="Z_30C045F4_8E84_465C_9537_36842D8391D0_.wvu.FilterData" localSheetId="1" hidden="1">Scenarios!$A$1:$G$7</definedName>
  </definedNames>
  <calcPr calcId="191029"/>
  <customWorkbookViews>
    <customWorkbookView name="Filter 1" guid="{30C045F4-8E84-465C-9537-36842D8391D0}" maximized="1" windowWidth="0" windowHeight="0" activeSheetId="0"/>
  </customWorkbookViews>
</workbook>
</file>

<file path=xl/calcChain.xml><?xml version="1.0" encoding="utf-8"?>
<calcChain xmlns="http://schemas.openxmlformats.org/spreadsheetml/2006/main">
  <c r="C13" i="2" l="1"/>
  <c r="B13" i="2"/>
  <c r="A13" i="2"/>
  <c r="B9" i="2"/>
  <c r="A9" i="2"/>
  <c r="C9" i="2" s="1"/>
  <c r="B10" i="2"/>
  <c r="B18" i="2"/>
  <c r="A18" i="2"/>
  <c r="D3" i="1"/>
  <c r="B20" i="2"/>
  <c r="B19" i="2"/>
  <c r="B17" i="2"/>
  <c r="B16" i="2"/>
  <c r="A20" i="2"/>
  <c r="A19" i="2"/>
  <c r="A17" i="2"/>
  <c r="A16" i="2"/>
  <c r="B15" i="2"/>
  <c r="A15" i="2"/>
  <c r="B14" i="2"/>
  <c r="A14" i="2"/>
  <c r="B8" i="2"/>
  <c r="B7" i="2"/>
  <c r="B6" i="2"/>
  <c r="B12" i="2"/>
  <c r="A12" i="2"/>
  <c r="B11" i="2"/>
  <c r="A11" i="2"/>
  <c r="A10" i="2"/>
  <c r="A8" i="2"/>
  <c r="A7" i="2"/>
  <c r="A6" i="2"/>
  <c r="B5" i="2"/>
  <c r="A5" i="2"/>
  <c r="B4" i="2"/>
  <c r="A4" i="2"/>
  <c r="B3" i="2"/>
  <c r="A3" i="2"/>
  <c r="B2" i="2"/>
  <c r="A2" i="2"/>
  <c r="B7" i="1"/>
  <c r="B6" i="1"/>
  <c r="B5" i="1"/>
  <c r="F4" i="1"/>
  <c r="D4" i="1"/>
  <c r="B4" i="1"/>
  <c r="B3" i="1"/>
  <c r="C12" i="2" l="1"/>
  <c r="D5" i="1"/>
  <c r="C18" i="2"/>
  <c r="C19" i="2"/>
  <c r="C16" i="2"/>
  <c r="C20" i="2"/>
  <c r="C17" i="2"/>
  <c r="C8" i="2"/>
  <c r="C3" i="2"/>
  <c r="C15" i="2"/>
  <c r="C11" i="2"/>
  <c r="F5" i="1"/>
  <c r="C4" i="2"/>
  <c r="B8" i="1"/>
  <c r="C6" i="2"/>
  <c r="C10" i="2"/>
  <c r="C2" i="2"/>
  <c r="C7" i="2"/>
  <c r="C5" i="2"/>
  <c r="C14" i="2"/>
  <c r="H12" i="1" l="1"/>
  <c r="G12" i="1"/>
  <c r="I12" i="1"/>
  <c r="E12" i="1"/>
  <c r="F12" i="1"/>
  <c r="D12" i="1"/>
</calcChain>
</file>

<file path=xl/sharedStrings.xml><?xml version="1.0" encoding="utf-8"?>
<sst xmlns="http://schemas.openxmlformats.org/spreadsheetml/2006/main" count="251" uniqueCount="147">
  <si>
    <t>Tester:</t>
  </si>
  <si>
    <t>Last Update:</t>
  </si>
  <si>
    <t>FAIL</t>
  </si>
  <si>
    <t>Open Defects</t>
  </si>
  <si>
    <t>Automated</t>
  </si>
  <si>
    <t>PASS</t>
  </si>
  <si>
    <t>Closed Defects</t>
  </si>
  <si>
    <t>Manual</t>
  </si>
  <si>
    <t>NOT RUN</t>
  </si>
  <si>
    <t>Total</t>
  </si>
  <si>
    <t xml:space="preserve">Total </t>
  </si>
  <si>
    <t>BLOCK</t>
  </si>
  <si>
    <t xml:space="preserve">NOT APPLICABLE </t>
  </si>
  <si>
    <t>ACC Matrix</t>
  </si>
  <si>
    <t>Components</t>
  </si>
  <si>
    <t>Attributes</t>
  </si>
  <si>
    <t>General</t>
  </si>
  <si>
    <t>Sprint</t>
  </si>
  <si>
    <t>Feature</t>
  </si>
  <si>
    <t>Secure</t>
  </si>
  <si>
    <t>Compliance</t>
  </si>
  <si>
    <t>Auditable</t>
  </si>
  <si>
    <t xml:space="preserve">Accessible </t>
  </si>
  <si>
    <t>Build #</t>
  </si>
  <si>
    <t>Comments</t>
  </si>
  <si>
    <t>Status</t>
  </si>
  <si>
    <t>Done</t>
  </si>
  <si>
    <t>Component</t>
  </si>
  <si>
    <t>Attribute</t>
  </si>
  <si>
    <t>Capability</t>
  </si>
  <si>
    <t>Scenario</t>
  </si>
  <si>
    <t>Tag</t>
  </si>
  <si>
    <t>Defect #</t>
  </si>
  <si>
    <t>Story/Component</t>
  </si>
  <si>
    <t>Defect Description</t>
  </si>
  <si>
    <t xml:space="preserve">Status </t>
  </si>
  <si>
    <t>Severity</t>
  </si>
  <si>
    <t>Impact</t>
  </si>
  <si>
    <t>Actions</t>
  </si>
  <si>
    <t>Open</t>
  </si>
  <si>
    <t>High</t>
  </si>
  <si>
    <t>Sprint1</t>
  </si>
  <si>
    <t>User Signup</t>
  </si>
  <si>
    <t>Steps to Reproduce</t>
  </si>
  <si>
    <t xml:space="preserve">
</t>
  </si>
  <si>
    <t>Fast (Performance Testing)</t>
  </si>
  <si>
    <t>Defect</t>
  </si>
  <si>
    <t>Neeraja M.</t>
  </si>
  <si>
    <t>Componant</t>
  </si>
  <si>
    <t>First Name &amp; Country are not marked as mandatory this could lead to Data inconsistancy in the future.</t>
  </si>
  <si>
    <t>Fail</t>
  </si>
  <si>
    <t>Pass</t>
  </si>
  <si>
    <t>Evidence</t>
  </si>
  <si>
    <t>D001</t>
  </si>
  <si>
    <t>Sign Up</t>
  </si>
  <si>
    <t>Only 2 out of 4 required fields are validated</t>
  </si>
  <si>
    <t>1.Open  URL:https://qa-practice.netlify.app/bugs-form
2.Enter only  Password &amp;Phone number 
3.Click on Register 
Actual : 
User is successfully registered.
Expected: 
User is Unable to register.</t>
  </si>
  <si>
    <t xml:space="preserve">This could lead to Data &amp; Security issues </t>
  </si>
  <si>
    <t>Run defect triage session with the Team.</t>
  </si>
  <si>
    <t>D002</t>
  </si>
  <si>
    <t>User is able to register with invalid data on required fields.</t>
  </si>
  <si>
    <t xml:space="preserve">Responsive </t>
  </si>
  <si>
    <t>User registration</t>
  </si>
  <si>
    <t>D003</t>
  </si>
  <si>
    <t>D004</t>
  </si>
  <si>
    <t>This could lead to data nd security issues</t>
  </si>
  <si>
    <t>D005</t>
  </si>
  <si>
    <t>D006</t>
  </si>
  <si>
    <t>D007</t>
  </si>
  <si>
    <t>1.Open  URL:https://qa-practice.netlify.app/bugs-form
2.click on Register button without entering any details
Actual : 
UI is displaying the error message to enter the password
Expected: 
UI should display error message to enter all the required fields</t>
  </si>
  <si>
    <t>UI should display error message to enter all the required fields after click on register button without entering any details</t>
  </si>
  <si>
    <t>Medium</t>
  </si>
  <si>
    <t>This could lead to  data issues</t>
  </si>
  <si>
    <t>Low</t>
  </si>
  <si>
    <t>This could lead to data issues</t>
  </si>
  <si>
    <t>D008</t>
  </si>
  <si>
    <t>D009</t>
  </si>
  <si>
    <t>This could lead to security issues</t>
  </si>
  <si>
    <t>D010</t>
  </si>
  <si>
    <t>Last Name should not accept Special characters and  Numbers
Upon successful registration with invalid Last name details</t>
  </si>
  <si>
    <t xml:space="preserve">1.Open  URL:https://qa-practice.netlify.app/bugs-form
2.Enter valid details, including first name, phone number, country,email, password but enter invalid last name "1234@#$%"
3.click on Register button
Actual : 
User is successfully registered with invalid Last Name
Expected: 
The UI should display an error message prompting the user to enter only alphabets in the Last Name field.
</t>
  </si>
  <si>
    <t>D011</t>
  </si>
  <si>
    <t>1.Open  URL:https://qa-practice.netlify.app/bugs-form
2. check the Phone number field in the form
Actual : 
It is displaying "Phone nunber"
Expected: 
It should display  "Phone number"</t>
  </si>
  <si>
    <t>The "Phone nunber" field is misspelled and should be corrected to "Phone number"</t>
  </si>
  <si>
    <t>This could lead to Usability /reputation issues</t>
  </si>
  <si>
    <t>D012</t>
  </si>
  <si>
    <t>Only 2 out of 4 required fields are validated.check the screen shots in the Last  column(Evidence)</t>
  </si>
  <si>
    <t>D013</t>
  </si>
  <si>
    <t>Country name "Afghanistan" is populating as "Afganistan" after successful Registration</t>
  </si>
  <si>
    <t>1.Open  URL:https://qa-practice.netlify.app/bugs-form
2.Enter valid details, including first name, last name, phone number, email address,Password and select country as "Afghanistan"
3.click on Register button
Actual : 
It is displaying Afganistan"
Expected: 
It should display  "Afghanistan"</t>
  </si>
  <si>
    <t>D014</t>
  </si>
  <si>
    <t>First Name should not accept Special characters and  Numbers,Symbols
Upon successful registration with invalid First Name details</t>
  </si>
  <si>
    <t xml:space="preserve">1.Open  URL:https://qa-practice.netlify.app/bugs-form
2.Enter valid details, including Last name, phone number, country,email, password but enter invalid First Name "1234@#$%"
3.click on Register button
Actual : 
User is successfully registered with invalid First Name
Expected: 
The UI should display an error message prompting the user to enter only alphabets in the First Name field.
</t>
  </si>
  <si>
    <t>The "I Agree with the Terms and Conditions" checkbox is not functioning properly. Users are unable to select or deselect the checkbox, which prevents them from agreeing to the terms during the registration process. This issue may hinder user registration or acceptance of terms.</t>
  </si>
  <si>
    <t>D015</t>
  </si>
  <si>
    <t>Form fields with multiple labels can be confusingly announced by assistive technologies like screen readers which use either the first, the last, or all of the labels</t>
  </si>
  <si>
    <t>This could lead to  usability issues.</t>
  </si>
  <si>
    <t>The validation message needs to improve
 "Psw length validation: [6,20] characters"
It should display "password" instead of "Psw"
The below message should display at the top of all fields instead of displaying at the Last Name field only "Note: All the fields marked with * are mandatory"</t>
  </si>
  <si>
    <t>Usability issues</t>
  </si>
  <si>
    <t>1.Open  URL:https://qa-practice.netlify.app/bugs-form
2.Enter HTML code in the first name 
&lt;button onclick="speak()"&gt;Click Me&lt;/button&gt;
3.Enter the remaining fields and click on Register button
Actual : 
User is able to register with HTML code entering in the first name
Expected: 
User is Uable to register with HTML code entering in the first name</t>
  </si>
  <si>
    <t>HTML Code and Java script code Accepted qnd executed in First Name Field During Registration
The registration form allows users to enter HTML code in the First Name text box, and the registration is successfully completed without validation. This lead to security vulnerabilities</t>
  </si>
  <si>
    <t>This leads to security issues</t>
  </si>
  <si>
    <t>This  leads to business and legal impact of storing wrong customer details</t>
  </si>
  <si>
    <t xml:space="preserve">1.Open  URL:https://qa-practice.netlify.app/bugs-form
2.Enter valid details, including first name, last name, phone number, country,email, and password
3.click on Register button
Actual : 
User is successfully registered. but The last name is truncated by one character.
Expected: 
User is successfully registered. and all the provided details should populate correctly.
</t>
  </si>
  <si>
    <t xml:space="preserve"> Phone Number Incremented last digit of the Phone Number by one  After Registration.
</t>
  </si>
  <si>
    <t xml:space="preserve">1.Open  URL:https://qa-practice.netlify.app/bugs-form
2.Enter valid details, including first name, last name, phone number, country,email, and password
3.click on Register button
Actual : 
User is successfully registered. but   Phone Number Incremented last digit of the  Number by one.
Expected: 
User is successfully registered. and all the provided details should populate correctly.
</t>
  </si>
  <si>
    <t xml:space="preserve"> Phone Number accepts Special characters and Alphabetics
</t>
  </si>
  <si>
    <t xml:space="preserve">1.Open  URL:https://qa-practice.netlify.app/bugs-form
2.Enter valid details, including first name, last name,, country,email, and password and enter special characters and alphabets in Phone number 
3.click on Register button
Actual : 
User is successfully registered with invalid phone number
Expected: 
User is Unable to register with invalid Phone number.
</t>
  </si>
  <si>
    <t>This  leads to data issues</t>
  </si>
  <si>
    <t xml:space="preserve">
User is able to register with invalid email address
</t>
  </si>
  <si>
    <t>1.Open  URL:https://qa-practice.netlify.app/bugs-form
2.Enter valid details, including first name, last name, phone number, country,Password and enter invalid email address
3.click on Register button
Actual : 
User is able to register with invalid email address
Expected: 
User is unable to register with invalid email address</t>
  </si>
  <si>
    <t>While filling the password on the registration form this is visible.</t>
  </si>
  <si>
    <t xml:space="preserve">1.Open  URL:https://qa-practice.netlify.app/bugs-form
2.Enter  the password 
Actual : 
Password visible.
Expected: 
Password should be hidden by *
</t>
  </si>
  <si>
    <t>This  leads to  security issues</t>
  </si>
  <si>
    <t>This leads to Usability /reputation issues</t>
  </si>
  <si>
    <t>"I agree with the terms and conditions" check box is Disable.</t>
  </si>
  <si>
    <t>1.Open  URL:https://qa-practice.netlify.app/bugs-form
2.Attempt to select or deselect the "I agree with the terms and conditions" checkbox.
Actual : 
Check box is Disable.
Expected: 
The checkbox should be clickable, Unable, and mandatory.</t>
  </si>
  <si>
    <t>D016</t>
  </si>
  <si>
    <t>Accessability issue</t>
  </si>
  <si>
    <t>Disable persons also should able to Register.</t>
  </si>
  <si>
    <t>1.Open  URL:https://qa-practice.netlify.app/bugs-form
2.Enter Blank spaces on Phone number 
3.Click on Register 
Actual : 
User is successfully registered.
Expected: 
User is Unable to register.</t>
  </si>
  <si>
    <t xml:space="preserve">Validate  user is unable to enter special characters on form fields </t>
  </si>
  <si>
    <t>D003
D006
D009</t>
  </si>
  <si>
    <t xml:space="preserve">Last Name Truncated  After Registration
Upon successful registration with valid details, the last name is not populating correctly:
The last name is truncated by one character.
</t>
  </si>
  <si>
    <t>Validate all mandatory fields are marked with *</t>
  </si>
  <si>
    <t xml:space="preserve">Validate User is unable to register without entering all required fields </t>
  </si>
  <si>
    <t>Validate User is Unable to register entering invalid data on all required fields</t>
  </si>
  <si>
    <t>D007
D016</t>
  </si>
  <si>
    <t>Validate User is Unable to register entering valid data on all required fields except 'Last Name'</t>
  </si>
  <si>
    <t>D002
D010</t>
  </si>
  <si>
    <t>Validate User is Unable to register entering valid data on all required fields except 'Phone Number'</t>
  </si>
  <si>
    <t>Validate User is Unable to register entering valid data on all required fields except 'Email address'</t>
  </si>
  <si>
    <t>Validate User is Unable to register entering valid data on all required fields except 'Password'</t>
  </si>
  <si>
    <t>Validate User is Unable to register without accecpting terms and conditions</t>
  </si>
  <si>
    <t xml:space="preserve">Validate user is unable to execute HTML or Javascript on form fields </t>
  </si>
  <si>
    <t>Validate  a log is created after user registration</t>
  </si>
  <si>
    <t>Validate a google analytics are created after user registration.</t>
  </si>
  <si>
    <t>Validate a user visual impair is able to register.</t>
  </si>
  <si>
    <t>Validate user is able to register on  Laptop</t>
  </si>
  <si>
    <t>Validate user is able to register on  Phone</t>
  </si>
  <si>
    <t>Validate user is able to register on  Tablet.</t>
  </si>
  <si>
    <t>Validate User is able to register under 5 seconds</t>
  </si>
  <si>
    <t>Validate  Password is invisible while user entering the Password.</t>
  </si>
  <si>
    <t>D001
D012</t>
  </si>
  <si>
    <t>Validate User is Able to register entering valid data on all fields and  Click the Terms &amp; conditions checkbox</t>
  </si>
  <si>
    <t>D005
D008
D013
D014</t>
  </si>
  <si>
    <t xml:space="preserve">Last Review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</si>
</sst>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sz val="10"/>
      <name val="Arial"/>
    </font>
    <font>
      <b/>
      <sz val="10"/>
      <color rgb="FFFFFFFF"/>
      <name val="Arial"/>
    </font>
    <font>
      <b/>
      <sz val="10"/>
      <name val="Arial"/>
    </font>
    <font>
      <sz val="8"/>
      <name val="Arial"/>
    </font>
    <font>
      <sz val="8"/>
      <name val="Arial"/>
      <family val="2"/>
    </font>
    <font>
      <sz val="9"/>
      <name val="Arial"/>
      <family val="2"/>
    </font>
    <font>
      <sz val="9"/>
      <color rgb="FF000000"/>
      <name val="Arial"/>
      <family val="2"/>
    </font>
    <font>
      <sz val="10"/>
      <name val="Arial"/>
      <family val="2"/>
    </font>
    <font>
      <sz val="10"/>
      <color rgb="FF000000"/>
      <name val="Arial"/>
      <family val="2"/>
    </font>
    <font>
      <sz val="14"/>
      <color rgb="FF000000"/>
      <name val="Arial"/>
      <family val="2"/>
    </font>
    <font>
      <b/>
      <sz val="14"/>
      <name val="Arial"/>
      <family val="2"/>
    </font>
    <font>
      <b/>
      <sz val="14"/>
      <color rgb="FF000000"/>
      <name val="Arial"/>
      <family val="2"/>
    </font>
    <font>
      <b/>
      <sz val="10"/>
      <name val="Arial"/>
      <family val="2"/>
    </font>
    <font>
      <b/>
      <sz val="10"/>
      <color theme="9" tint="-0.249977111117893"/>
      <name val="Arial"/>
      <family val="2"/>
    </font>
    <font>
      <b/>
      <sz val="10"/>
      <color rgb="FFFF0000"/>
      <name val="Arial"/>
      <family val="2"/>
    </font>
  </fonts>
  <fills count="11">
    <fill>
      <patternFill patternType="none"/>
    </fill>
    <fill>
      <patternFill patternType="gray125"/>
    </fill>
    <fill>
      <patternFill patternType="solid">
        <fgColor rgb="FFFF0000"/>
        <bgColor rgb="FFFF0000"/>
      </patternFill>
    </fill>
    <fill>
      <patternFill patternType="solid">
        <fgColor rgb="FFB7E1CD"/>
        <bgColor rgb="FFB7E1CD"/>
      </patternFill>
    </fill>
    <fill>
      <patternFill patternType="solid">
        <fgColor rgb="FFFFFF00"/>
        <bgColor rgb="FFFFFF00"/>
      </patternFill>
    </fill>
    <fill>
      <patternFill patternType="solid">
        <fgColor rgb="FFFF9900"/>
        <bgColor rgb="FFFF9900"/>
      </patternFill>
    </fill>
    <fill>
      <patternFill patternType="solid">
        <fgColor rgb="FF000000"/>
        <bgColor rgb="FF000000"/>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FFFFFF"/>
        <b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s>
  <cellStyleXfs count="1">
    <xf numFmtId="0" fontId="0" fillId="0" borderId="0"/>
  </cellStyleXfs>
  <cellXfs count="35">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righ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0" borderId="0" xfId="0" applyFont="1" applyAlignment="1">
      <alignment horizontal="left" wrapText="1"/>
    </xf>
    <xf numFmtId="0" fontId="1" fillId="0" borderId="0" xfId="0" applyFont="1" applyAlignment="1">
      <alignment horizontal="center" wrapText="1"/>
    </xf>
    <xf numFmtId="0" fontId="2" fillId="7" borderId="0" xfId="0" applyFont="1" applyFill="1" applyAlignment="1">
      <alignment wrapText="1"/>
    </xf>
    <xf numFmtId="0" fontId="3" fillId="8" borderId="0" xfId="0" applyFont="1" applyFill="1" applyAlignment="1">
      <alignment horizontal="center" wrapText="1"/>
    </xf>
    <xf numFmtId="0" fontId="3" fillId="9" borderId="0" xfId="0" applyFont="1" applyFill="1" applyAlignment="1">
      <alignment wrapText="1"/>
    </xf>
    <xf numFmtId="0" fontId="1" fillId="5" borderId="0" xfId="0" applyFont="1" applyFill="1" applyAlignment="1">
      <alignment horizontal="center" vertical="center" wrapText="1"/>
    </xf>
    <xf numFmtId="0" fontId="6" fillId="0" borderId="1" xfId="0" applyFont="1" applyBorder="1" applyAlignment="1">
      <alignment wrapText="1"/>
    </xf>
    <xf numFmtId="0" fontId="7" fillId="0" borderId="1" xfId="0" applyFont="1" applyBorder="1" applyAlignment="1">
      <alignment wrapText="1"/>
    </xf>
    <xf numFmtId="0" fontId="0" fillId="0" borderId="1" xfId="0" applyBorder="1" applyAlignment="1">
      <alignment wrapText="1"/>
    </xf>
    <xf numFmtId="0" fontId="8" fillId="0" borderId="1" xfId="0" applyFont="1" applyBorder="1" applyAlignment="1">
      <alignment wrapText="1"/>
    </xf>
    <xf numFmtId="0" fontId="9" fillId="10"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10" fillId="0" borderId="1" xfId="0" applyFont="1" applyBorder="1" applyAlignment="1">
      <alignment wrapText="1"/>
    </xf>
    <xf numFmtId="0" fontId="11" fillId="0" borderId="2" xfId="0" applyFont="1" applyBorder="1" applyAlignment="1">
      <alignment wrapText="1"/>
    </xf>
    <xf numFmtId="0" fontId="11" fillId="0" borderId="3" xfId="0" applyFont="1" applyBorder="1" applyAlignment="1">
      <alignment wrapText="1"/>
    </xf>
    <xf numFmtId="0" fontId="12" fillId="0" borderId="3" xfId="0" applyFont="1" applyBorder="1" applyAlignment="1">
      <alignment wrapText="1"/>
    </xf>
    <xf numFmtId="0" fontId="11" fillId="8" borderId="1" xfId="0" applyFont="1" applyFill="1" applyBorder="1" applyAlignment="1">
      <alignment horizontal="center" wrapText="1"/>
    </xf>
    <xf numFmtId="0" fontId="13" fillId="8" borderId="0" xfId="0" applyFont="1" applyFill="1" applyAlignment="1">
      <alignment horizontal="center" wrapText="1"/>
    </xf>
    <xf numFmtId="0" fontId="8" fillId="0" borderId="0" xfId="0" applyFont="1" applyAlignment="1">
      <alignment wrapText="1"/>
    </xf>
    <xf numFmtId="0" fontId="8" fillId="0" borderId="0" xfId="0" applyFont="1"/>
    <xf numFmtId="14" fontId="1" fillId="0" borderId="0" xfId="0" applyNumberFormat="1" applyFont="1"/>
    <xf numFmtId="0" fontId="1" fillId="0" borderId="0" xfId="0" applyFont="1" applyAlignment="1">
      <alignment horizontal="center" wrapText="1"/>
    </xf>
    <xf numFmtId="0" fontId="0" fillId="0" borderId="0" xfId="0"/>
    <xf numFmtId="0" fontId="2" fillId="6" borderId="0" xfId="0" applyFont="1" applyFill="1" applyAlignment="1">
      <alignment horizontal="center" wrapText="1"/>
    </xf>
    <xf numFmtId="0" fontId="14" fillId="0" borderId="0" xfId="0" applyFont="1" applyAlignment="1">
      <alignment wrapText="1"/>
    </xf>
    <xf numFmtId="0" fontId="15" fillId="0" borderId="0" xfId="0" applyFont="1" applyAlignment="1">
      <alignment wrapText="1"/>
    </xf>
  </cellXfs>
  <cellStyles count="1">
    <cellStyle name="Normal" xfId="0" builtinId="0"/>
  </cellStyles>
  <dxfs count="7">
    <dxf>
      <fill>
        <patternFill patternType="solid">
          <fgColor rgb="FFB7E1CD"/>
          <bgColor rgb="FFB7E1CD"/>
        </patternFill>
      </fill>
    </dxf>
    <dxf>
      <fill>
        <patternFill patternType="solid">
          <fgColor rgb="FFFFFFFF"/>
          <bgColor rgb="FFFFFFFF"/>
        </patternFill>
      </fill>
    </dxf>
    <dxf>
      <fill>
        <patternFill patternType="solid">
          <fgColor rgb="FFB7E1CD"/>
          <bgColor rgb="FFB7E1CD"/>
        </patternFill>
      </fill>
    </dxf>
    <dxf>
      <fill>
        <patternFill patternType="solid">
          <fgColor rgb="FFFFFF00"/>
          <bgColor rgb="FFFFFF00"/>
        </patternFill>
      </fill>
    </dxf>
    <dxf>
      <fill>
        <patternFill patternType="solid">
          <fgColor rgb="FFFF9900"/>
          <bgColor rgb="FFFF9900"/>
        </patternFill>
      </fill>
    </dxf>
    <dxf>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80873</xdr:colOff>
      <xdr:row>10</xdr:row>
      <xdr:rowOff>143774</xdr:rowOff>
    </xdr:from>
    <xdr:to>
      <xdr:col>9</xdr:col>
      <xdr:colOff>5517310</xdr:colOff>
      <xdr:row>10</xdr:row>
      <xdr:rowOff>3540196</xdr:rowOff>
    </xdr:to>
    <xdr:pic>
      <xdr:nvPicPr>
        <xdr:cNvPr id="2" name="Picture 1">
          <a:extLst>
            <a:ext uri="{FF2B5EF4-FFF2-40B4-BE49-F238E27FC236}">
              <a16:creationId xmlns:a16="http://schemas.microsoft.com/office/drawing/2014/main" id="{C44C985D-C823-9391-7C0C-E9C3D2EB3ACA}"/>
            </a:ext>
          </a:extLst>
        </xdr:cNvPr>
        <xdr:cNvPicPr>
          <a:picLocks noChangeAspect="1"/>
        </xdr:cNvPicPr>
      </xdr:nvPicPr>
      <xdr:blipFill>
        <a:blip xmlns:r="http://schemas.openxmlformats.org/officeDocument/2006/relationships" r:embed="rId1"/>
        <a:stretch>
          <a:fillRect/>
        </a:stretch>
      </xdr:blipFill>
      <xdr:spPr>
        <a:xfrm>
          <a:off x="20505708" y="11340142"/>
          <a:ext cx="5436437" cy="3396422"/>
        </a:xfrm>
        <a:prstGeom prst="rect">
          <a:avLst/>
        </a:prstGeom>
      </xdr:spPr>
    </xdr:pic>
    <xdr:clientData/>
  </xdr:twoCellAnchor>
  <xdr:twoCellAnchor editAs="oneCell">
    <xdr:from>
      <xdr:col>9</xdr:col>
      <xdr:colOff>220617</xdr:colOff>
      <xdr:row>11</xdr:row>
      <xdr:rowOff>116817</xdr:rowOff>
    </xdr:from>
    <xdr:to>
      <xdr:col>9</xdr:col>
      <xdr:colOff>5562240</xdr:colOff>
      <xdr:row>11</xdr:row>
      <xdr:rowOff>3549411</xdr:rowOff>
    </xdr:to>
    <xdr:pic>
      <xdr:nvPicPr>
        <xdr:cNvPr id="4" name="Picture 3">
          <a:extLst>
            <a:ext uri="{FF2B5EF4-FFF2-40B4-BE49-F238E27FC236}">
              <a16:creationId xmlns:a16="http://schemas.microsoft.com/office/drawing/2014/main" id="{109160F6-EF40-6B79-1CEA-DA53C5821042}"/>
            </a:ext>
          </a:extLst>
        </xdr:cNvPr>
        <xdr:cNvPicPr>
          <a:picLocks noChangeAspect="1"/>
        </xdr:cNvPicPr>
      </xdr:nvPicPr>
      <xdr:blipFill>
        <a:blip xmlns:r="http://schemas.openxmlformats.org/officeDocument/2006/relationships" r:embed="rId2"/>
        <a:stretch>
          <a:fillRect/>
        </a:stretch>
      </xdr:blipFill>
      <xdr:spPr>
        <a:xfrm>
          <a:off x="20645452" y="14979411"/>
          <a:ext cx="5341623" cy="3432594"/>
        </a:xfrm>
        <a:prstGeom prst="rect">
          <a:avLst/>
        </a:prstGeom>
      </xdr:spPr>
    </xdr:pic>
    <xdr:clientData/>
  </xdr:twoCellAnchor>
  <xdr:oneCellAnchor>
    <xdr:from>
      <xdr:col>9</xdr:col>
      <xdr:colOff>28896</xdr:colOff>
      <xdr:row>8</xdr:row>
      <xdr:rowOff>62900</xdr:rowOff>
    </xdr:from>
    <xdr:ext cx="5470444" cy="3369694"/>
    <xdr:pic>
      <xdr:nvPicPr>
        <xdr:cNvPr id="6" name="Picture 5">
          <a:extLst>
            <a:ext uri="{FF2B5EF4-FFF2-40B4-BE49-F238E27FC236}">
              <a16:creationId xmlns:a16="http://schemas.microsoft.com/office/drawing/2014/main" id="{E45EE08E-C6CA-4585-9F94-587FEA716EF8}"/>
            </a:ext>
          </a:extLst>
        </xdr:cNvPr>
        <xdr:cNvPicPr>
          <a:picLocks noChangeAspect="1"/>
        </xdr:cNvPicPr>
      </xdr:nvPicPr>
      <xdr:blipFill>
        <a:blip xmlns:r="http://schemas.openxmlformats.org/officeDocument/2006/relationships" r:embed="rId3"/>
        <a:stretch>
          <a:fillRect/>
        </a:stretch>
      </xdr:blipFill>
      <xdr:spPr>
        <a:xfrm>
          <a:off x="20453731" y="7593042"/>
          <a:ext cx="5470444" cy="3369694"/>
        </a:xfrm>
        <a:prstGeom prst="rect">
          <a:avLst/>
        </a:prstGeom>
      </xdr:spPr>
    </xdr:pic>
    <xdr:clientData/>
  </xdr:oneCellAnchor>
  <xdr:twoCellAnchor editAs="oneCell">
    <xdr:from>
      <xdr:col>9</xdr:col>
      <xdr:colOff>39085</xdr:colOff>
      <xdr:row>9</xdr:row>
      <xdr:rowOff>161746</xdr:rowOff>
    </xdr:from>
    <xdr:to>
      <xdr:col>9</xdr:col>
      <xdr:colOff>5764119</xdr:colOff>
      <xdr:row>9</xdr:row>
      <xdr:rowOff>3319547</xdr:rowOff>
    </xdr:to>
    <xdr:pic>
      <xdr:nvPicPr>
        <xdr:cNvPr id="9" name="Picture 8">
          <a:extLst>
            <a:ext uri="{FF2B5EF4-FFF2-40B4-BE49-F238E27FC236}">
              <a16:creationId xmlns:a16="http://schemas.microsoft.com/office/drawing/2014/main" id="{E0396B7A-A103-9125-61E5-16DF14908C68}"/>
            </a:ext>
          </a:extLst>
        </xdr:cNvPr>
        <xdr:cNvPicPr>
          <a:picLocks noChangeAspect="1"/>
        </xdr:cNvPicPr>
      </xdr:nvPicPr>
      <xdr:blipFill>
        <a:blip xmlns:r="http://schemas.openxmlformats.org/officeDocument/2006/relationships" r:embed="rId4"/>
        <a:stretch>
          <a:fillRect/>
        </a:stretch>
      </xdr:blipFill>
      <xdr:spPr>
        <a:xfrm>
          <a:off x="20463920" y="15024340"/>
          <a:ext cx="5725034" cy="3157801"/>
        </a:xfrm>
        <a:prstGeom prst="rect">
          <a:avLst/>
        </a:prstGeom>
      </xdr:spPr>
    </xdr:pic>
    <xdr:clientData/>
  </xdr:twoCellAnchor>
  <xdr:twoCellAnchor editAs="oneCell">
    <xdr:from>
      <xdr:col>9</xdr:col>
      <xdr:colOff>0</xdr:colOff>
      <xdr:row>4</xdr:row>
      <xdr:rowOff>141786</xdr:rowOff>
    </xdr:from>
    <xdr:to>
      <xdr:col>10</xdr:col>
      <xdr:colOff>8341</xdr:colOff>
      <xdr:row>4</xdr:row>
      <xdr:rowOff>3585354</xdr:rowOff>
    </xdr:to>
    <xdr:pic>
      <xdr:nvPicPr>
        <xdr:cNvPr id="11" name="Picture 10">
          <a:extLst>
            <a:ext uri="{FF2B5EF4-FFF2-40B4-BE49-F238E27FC236}">
              <a16:creationId xmlns:a16="http://schemas.microsoft.com/office/drawing/2014/main" id="{BFCE7309-815A-D8C5-DA09-11551DF97CCC}"/>
            </a:ext>
          </a:extLst>
        </xdr:cNvPr>
        <xdr:cNvPicPr>
          <a:picLocks noChangeAspect="1"/>
        </xdr:cNvPicPr>
      </xdr:nvPicPr>
      <xdr:blipFill>
        <a:blip xmlns:r="http://schemas.openxmlformats.org/officeDocument/2006/relationships" r:embed="rId5"/>
        <a:stretch>
          <a:fillRect/>
        </a:stretch>
      </xdr:blipFill>
      <xdr:spPr>
        <a:xfrm>
          <a:off x="20424835" y="11436998"/>
          <a:ext cx="6325393" cy="3443568"/>
        </a:xfrm>
        <a:prstGeom prst="rect">
          <a:avLst/>
        </a:prstGeom>
      </xdr:spPr>
    </xdr:pic>
    <xdr:clientData/>
  </xdr:twoCellAnchor>
  <xdr:twoCellAnchor editAs="oneCell">
    <xdr:from>
      <xdr:col>9</xdr:col>
      <xdr:colOff>3806</xdr:colOff>
      <xdr:row>6</xdr:row>
      <xdr:rowOff>53915</xdr:rowOff>
    </xdr:from>
    <xdr:to>
      <xdr:col>9</xdr:col>
      <xdr:colOff>5648408</xdr:colOff>
      <xdr:row>6</xdr:row>
      <xdr:rowOff>3450566</xdr:rowOff>
    </xdr:to>
    <xdr:pic>
      <xdr:nvPicPr>
        <xdr:cNvPr id="13" name="Picture 12">
          <a:extLst>
            <a:ext uri="{FF2B5EF4-FFF2-40B4-BE49-F238E27FC236}">
              <a16:creationId xmlns:a16="http://schemas.microsoft.com/office/drawing/2014/main" id="{51472C81-19C6-97AE-F429-448CA9951DC9}"/>
            </a:ext>
          </a:extLst>
        </xdr:cNvPr>
        <xdr:cNvPicPr>
          <a:picLocks noChangeAspect="1"/>
        </xdr:cNvPicPr>
      </xdr:nvPicPr>
      <xdr:blipFill>
        <a:blip xmlns:r="http://schemas.openxmlformats.org/officeDocument/2006/relationships" r:embed="rId6"/>
        <a:stretch>
          <a:fillRect/>
        </a:stretch>
      </xdr:blipFill>
      <xdr:spPr>
        <a:xfrm>
          <a:off x="20428641" y="11250283"/>
          <a:ext cx="5644602" cy="3396651"/>
        </a:xfrm>
        <a:prstGeom prst="rect">
          <a:avLst/>
        </a:prstGeom>
      </xdr:spPr>
    </xdr:pic>
    <xdr:clientData/>
  </xdr:twoCellAnchor>
  <xdr:twoCellAnchor editAs="oneCell">
    <xdr:from>
      <xdr:col>9</xdr:col>
      <xdr:colOff>45138</xdr:colOff>
      <xdr:row>7</xdr:row>
      <xdr:rowOff>71885</xdr:rowOff>
    </xdr:from>
    <xdr:to>
      <xdr:col>9</xdr:col>
      <xdr:colOff>5625141</xdr:colOff>
      <xdr:row>7</xdr:row>
      <xdr:rowOff>3522453</xdr:rowOff>
    </xdr:to>
    <xdr:pic>
      <xdr:nvPicPr>
        <xdr:cNvPr id="16" name="Picture 15">
          <a:extLst>
            <a:ext uri="{FF2B5EF4-FFF2-40B4-BE49-F238E27FC236}">
              <a16:creationId xmlns:a16="http://schemas.microsoft.com/office/drawing/2014/main" id="{2A0FB1F6-BB3C-8797-6162-D1C590A43DF3}"/>
            </a:ext>
          </a:extLst>
        </xdr:cNvPr>
        <xdr:cNvPicPr>
          <a:picLocks noChangeAspect="1"/>
        </xdr:cNvPicPr>
      </xdr:nvPicPr>
      <xdr:blipFill>
        <a:blip xmlns:r="http://schemas.openxmlformats.org/officeDocument/2006/relationships" r:embed="rId7"/>
        <a:stretch>
          <a:fillRect/>
        </a:stretch>
      </xdr:blipFill>
      <xdr:spPr>
        <a:xfrm>
          <a:off x="20469973" y="36689220"/>
          <a:ext cx="5580003" cy="3450568"/>
        </a:xfrm>
        <a:prstGeom prst="rect">
          <a:avLst/>
        </a:prstGeom>
      </xdr:spPr>
    </xdr:pic>
    <xdr:clientData/>
  </xdr:twoCellAnchor>
  <xdr:twoCellAnchor editAs="oneCell">
    <xdr:from>
      <xdr:col>9</xdr:col>
      <xdr:colOff>5300</xdr:colOff>
      <xdr:row>13</xdr:row>
      <xdr:rowOff>80872</xdr:rowOff>
    </xdr:from>
    <xdr:to>
      <xdr:col>10</xdr:col>
      <xdr:colOff>73396</xdr:colOff>
      <xdr:row>13</xdr:row>
      <xdr:rowOff>3585353</xdr:rowOff>
    </xdr:to>
    <xdr:pic>
      <xdr:nvPicPr>
        <xdr:cNvPr id="20" name="Picture 19">
          <a:extLst>
            <a:ext uri="{FF2B5EF4-FFF2-40B4-BE49-F238E27FC236}">
              <a16:creationId xmlns:a16="http://schemas.microsoft.com/office/drawing/2014/main" id="{7D92B677-4EE3-781C-84E3-C594240FD91F}"/>
            </a:ext>
          </a:extLst>
        </xdr:cNvPr>
        <xdr:cNvPicPr>
          <a:picLocks noChangeAspect="1"/>
        </xdr:cNvPicPr>
      </xdr:nvPicPr>
      <xdr:blipFill>
        <a:blip xmlns:r="http://schemas.openxmlformats.org/officeDocument/2006/relationships" r:embed="rId8"/>
        <a:stretch>
          <a:fillRect/>
        </a:stretch>
      </xdr:blipFill>
      <xdr:spPr>
        <a:xfrm>
          <a:off x="20430135" y="40418348"/>
          <a:ext cx="6385148" cy="3504481"/>
        </a:xfrm>
        <a:prstGeom prst="rect">
          <a:avLst/>
        </a:prstGeom>
      </xdr:spPr>
    </xdr:pic>
    <xdr:clientData/>
  </xdr:twoCellAnchor>
  <xdr:oneCellAnchor>
    <xdr:from>
      <xdr:col>9</xdr:col>
      <xdr:colOff>0</xdr:colOff>
      <xdr:row>3</xdr:row>
      <xdr:rowOff>141785</xdr:rowOff>
    </xdr:from>
    <xdr:ext cx="5988369" cy="3260091"/>
    <xdr:pic>
      <xdr:nvPicPr>
        <xdr:cNvPr id="21" name="Picture 20">
          <a:extLst>
            <a:ext uri="{FF2B5EF4-FFF2-40B4-BE49-F238E27FC236}">
              <a16:creationId xmlns:a16="http://schemas.microsoft.com/office/drawing/2014/main" id="{39522701-FF9A-486A-915F-1F2B2D7AB02D}"/>
            </a:ext>
          </a:extLst>
        </xdr:cNvPr>
        <xdr:cNvPicPr>
          <a:picLocks noChangeAspect="1"/>
        </xdr:cNvPicPr>
      </xdr:nvPicPr>
      <xdr:blipFill>
        <a:blip xmlns:r="http://schemas.openxmlformats.org/officeDocument/2006/relationships" r:embed="rId5"/>
        <a:stretch>
          <a:fillRect/>
        </a:stretch>
      </xdr:blipFill>
      <xdr:spPr>
        <a:xfrm>
          <a:off x="20424835" y="11338153"/>
          <a:ext cx="5988369" cy="3260091"/>
        </a:xfrm>
        <a:prstGeom prst="rect">
          <a:avLst/>
        </a:prstGeom>
      </xdr:spPr>
    </xdr:pic>
    <xdr:clientData/>
  </xdr:oneCellAnchor>
  <xdr:twoCellAnchor editAs="oneCell">
    <xdr:from>
      <xdr:col>9</xdr:col>
      <xdr:colOff>283447</xdr:colOff>
      <xdr:row>14</xdr:row>
      <xdr:rowOff>377404</xdr:rowOff>
    </xdr:from>
    <xdr:to>
      <xdr:col>9</xdr:col>
      <xdr:colOff>4749990</xdr:colOff>
      <xdr:row>14</xdr:row>
      <xdr:rowOff>3716497</xdr:rowOff>
    </xdr:to>
    <xdr:pic>
      <xdr:nvPicPr>
        <xdr:cNvPr id="23" name="Picture 22">
          <a:extLst>
            <a:ext uri="{FF2B5EF4-FFF2-40B4-BE49-F238E27FC236}">
              <a16:creationId xmlns:a16="http://schemas.microsoft.com/office/drawing/2014/main" id="{A3B3D401-7E70-53DD-7EF3-D3FECC2E4830}"/>
            </a:ext>
          </a:extLst>
        </xdr:cNvPr>
        <xdr:cNvPicPr>
          <a:picLocks noChangeAspect="1"/>
        </xdr:cNvPicPr>
      </xdr:nvPicPr>
      <xdr:blipFill>
        <a:blip xmlns:r="http://schemas.openxmlformats.org/officeDocument/2006/relationships" r:embed="rId9"/>
        <a:stretch>
          <a:fillRect/>
        </a:stretch>
      </xdr:blipFill>
      <xdr:spPr>
        <a:xfrm>
          <a:off x="20708282" y="48200093"/>
          <a:ext cx="4466543" cy="3339093"/>
        </a:xfrm>
        <a:prstGeom prst="rect">
          <a:avLst/>
        </a:prstGeom>
      </xdr:spPr>
    </xdr:pic>
    <xdr:clientData/>
  </xdr:twoCellAnchor>
  <xdr:twoCellAnchor editAs="oneCell">
    <xdr:from>
      <xdr:col>9</xdr:col>
      <xdr:colOff>296533</xdr:colOff>
      <xdr:row>15</xdr:row>
      <xdr:rowOff>17972</xdr:rowOff>
    </xdr:from>
    <xdr:to>
      <xdr:col>9</xdr:col>
      <xdr:colOff>4187405</xdr:colOff>
      <xdr:row>15</xdr:row>
      <xdr:rowOff>4446288</xdr:rowOff>
    </xdr:to>
    <xdr:pic>
      <xdr:nvPicPr>
        <xdr:cNvPr id="26" name="Picture 25">
          <a:extLst>
            <a:ext uri="{FF2B5EF4-FFF2-40B4-BE49-F238E27FC236}">
              <a16:creationId xmlns:a16="http://schemas.microsoft.com/office/drawing/2014/main" id="{0B265E7F-51C5-458B-8E21-442382CCDDDB}"/>
            </a:ext>
          </a:extLst>
        </xdr:cNvPr>
        <xdr:cNvPicPr>
          <a:picLocks noChangeAspect="1"/>
        </xdr:cNvPicPr>
      </xdr:nvPicPr>
      <xdr:blipFill>
        <a:blip xmlns:r="http://schemas.openxmlformats.org/officeDocument/2006/relationships" r:embed="rId10"/>
        <a:stretch>
          <a:fillRect/>
        </a:stretch>
      </xdr:blipFill>
      <xdr:spPr>
        <a:xfrm>
          <a:off x="20721368" y="51929222"/>
          <a:ext cx="3890872" cy="4428316"/>
        </a:xfrm>
        <a:prstGeom prst="rect">
          <a:avLst/>
        </a:prstGeom>
      </xdr:spPr>
    </xdr:pic>
    <xdr:clientData/>
  </xdr:twoCellAnchor>
  <xdr:twoCellAnchor editAs="oneCell">
    <xdr:from>
      <xdr:col>9</xdr:col>
      <xdr:colOff>190377</xdr:colOff>
      <xdr:row>16</xdr:row>
      <xdr:rowOff>44928</xdr:rowOff>
    </xdr:from>
    <xdr:to>
      <xdr:col>9</xdr:col>
      <xdr:colOff>5244531</xdr:colOff>
      <xdr:row>16</xdr:row>
      <xdr:rowOff>3726349</xdr:rowOff>
    </xdr:to>
    <xdr:pic>
      <xdr:nvPicPr>
        <xdr:cNvPr id="27" name="Picture 26">
          <a:extLst>
            <a:ext uri="{FF2B5EF4-FFF2-40B4-BE49-F238E27FC236}">
              <a16:creationId xmlns:a16="http://schemas.microsoft.com/office/drawing/2014/main" id="{A4B0DE2C-3C0A-46B7-B92B-59F722C3B047}"/>
            </a:ext>
          </a:extLst>
        </xdr:cNvPr>
        <xdr:cNvPicPr>
          <a:picLocks noChangeAspect="1"/>
        </xdr:cNvPicPr>
      </xdr:nvPicPr>
      <xdr:blipFill>
        <a:blip xmlns:r="http://schemas.openxmlformats.org/officeDocument/2006/relationships" r:embed="rId11"/>
        <a:stretch>
          <a:fillRect/>
        </a:stretch>
      </xdr:blipFill>
      <xdr:spPr>
        <a:xfrm>
          <a:off x="20615212" y="56503018"/>
          <a:ext cx="5054154" cy="3681421"/>
        </a:xfrm>
        <a:prstGeom prst="rect">
          <a:avLst/>
        </a:prstGeom>
      </xdr:spPr>
    </xdr:pic>
    <xdr:clientData/>
  </xdr:twoCellAnchor>
  <xdr:twoCellAnchor editAs="oneCell">
    <xdr:from>
      <xdr:col>9</xdr:col>
      <xdr:colOff>206674</xdr:colOff>
      <xdr:row>1</xdr:row>
      <xdr:rowOff>26957</xdr:rowOff>
    </xdr:from>
    <xdr:to>
      <xdr:col>9</xdr:col>
      <xdr:colOff>5373538</xdr:colOff>
      <xdr:row>1</xdr:row>
      <xdr:rowOff>3540424</xdr:rowOff>
    </xdr:to>
    <xdr:pic>
      <xdr:nvPicPr>
        <xdr:cNvPr id="29" name="Picture 28">
          <a:extLst>
            <a:ext uri="{FF2B5EF4-FFF2-40B4-BE49-F238E27FC236}">
              <a16:creationId xmlns:a16="http://schemas.microsoft.com/office/drawing/2014/main" id="{A78E7E9F-9306-D01D-BE94-EAC29D2C6738}"/>
            </a:ext>
          </a:extLst>
        </xdr:cNvPr>
        <xdr:cNvPicPr>
          <a:picLocks noChangeAspect="1"/>
        </xdr:cNvPicPr>
      </xdr:nvPicPr>
      <xdr:blipFill>
        <a:blip xmlns:r="http://schemas.openxmlformats.org/officeDocument/2006/relationships" r:embed="rId12"/>
        <a:stretch>
          <a:fillRect/>
        </a:stretch>
      </xdr:blipFill>
      <xdr:spPr>
        <a:xfrm>
          <a:off x="20631509" y="224646"/>
          <a:ext cx="5166864" cy="3513467"/>
        </a:xfrm>
        <a:prstGeom prst="rect">
          <a:avLst/>
        </a:prstGeom>
      </xdr:spPr>
    </xdr:pic>
    <xdr:clientData/>
  </xdr:twoCellAnchor>
  <xdr:twoCellAnchor editAs="oneCell">
    <xdr:from>
      <xdr:col>9</xdr:col>
      <xdr:colOff>192700</xdr:colOff>
      <xdr:row>2</xdr:row>
      <xdr:rowOff>215660</xdr:rowOff>
    </xdr:from>
    <xdr:to>
      <xdr:col>9</xdr:col>
      <xdr:colOff>6150074</xdr:colOff>
      <xdr:row>2</xdr:row>
      <xdr:rowOff>2887690</xdr:rowOff>
    </xdr:to>
    <xdr:pic>
      <xdr:nvPicPr>
        <xdr:cNvPr id="5" name="Picture 4">
          <a:extLst>
            <a:ext uri="{FF2B5EF4-FFF2-40B4-BE49-F238E27FC236}">
              <a16:creationId xmlns:a16="http://schemas.microsoft.com/office/drawing/2014/main" id="{C0536F0F-F4A3-6802-2DA0-1666323828CA}"/>
            </a:ext>
          </a:extLst>
        </xdr:cNvPr>
        <xdr:cNvPicPr>
          <a:picLocks noChangeAspect="1"/>
        </xdr:cNvPicPr>
      </xdr:nvPicPr>
      <xdr:blipFill>
        <a:blip xmlns:r="http://schemas.openxmlformats.org/officeDocument/2006/relationships" r:embed="rId13"/>
        <a:stretch>
          <a:fillRect/>
        </a:stretch>
      </xdr:blipFill>
      <xdr:spPr>
        <a:xfrm>
          <a:off x="20617535" y="4079575"/>
          <a:ext cx="5957374" cy="2672030"/>
        </a:xfrm>
        <a:prstGeom prst="rect">
          <a:avLst/>
        </a:prstGeom>
      </xdr:spPr>
    </xdr:pic>
    <xdr:clientData/>
  </xdr:twoCellAnchor>
  <xdr:twoCellAnchor editAs="oneCell">
    <xdr:from>
      <xdr:col>9</xdr:col>
      <xdr:colOff>80873</xdr:colOff>
      <xdr:row>5</xdr:row>
      <xdr:rowOff>53915</xdr:rowOff>
    </xdr:from>
    <xdr:to>
      <xdr:col>9</xdr:col>
      <xdr:colOff>5214309</xdr:colOff>
      <xdr:row>5</xdr:row>
      <xdr:rowOff>3352458</xdr:rowOff>
    </xdr:to>
    <xdr:pic>
      <xdr:nvPicPr>
        <xdr:cNvPr id="8" name="Picture 7">
          <a:extLst>
            <a:ext uri="{FF2B5EF4-FFF2-40B4-BE49-F238E27FC236}">
              <a16:creationId xmlns:a16="http://schemas.microsoft.com/office/drawing/2014/main" id="{EE1B73FC-1FE5-766C-F698-33394308C4CC}"/>
            </a:ext>
          </a:extLst>
        </xdr:cNvPr>
        <xdr:cNvPicPr>
          <a:picLocks noChangeAspect="1"/>
        </xdr:cNvPicPr>
      </xdr:nvPicPr>
      <xdr:blipFill>
        <a:blip xmlns:r="http://schemas.openxmlformats.org/officeDocument/2006/relationships" r:embed="rId14"/>
        <a:stretch>
          <a:fillRect/>
        </a:stretch>
      </xdr:blipFill>
      <xdr:spPr>
        <a:xfrm>
          <a:off x="20505708" y="15114198"/>
          <a:ext cx="5133436" cy="32985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2"/>
  <sheetViews>
    <sheetView tabSelected="1" zoomScale="85" zoomScaleNormal="85" workbookViewId="0">
      <selection activeCell="I15" sqref="I15"/>
    </sheetView>
  </sheetViews>
  <sheetFormatPr defaultColWidth="14.42578125" defaultRowHeight="15.75" customHeight="1" x14ac:dyDescent="0.2"/>
  <cols>
    <col min="1" max="1" width="33.42578125" customWidth="1"/>
    <col min="2" max="2" width="38.28515625" customWidth="1"/>
    <col min="3" max="3" width="42.42578125" customWidth="1"/>
    <col min="8" max="9" width="25.85546875" bestFit="1" customWidth="1"/>
  </cols>
  <sheetData>
    <row r="1" spans="1:12" ht="15.75" customHeight="1" x14ac:dyDescent="0.2">
      <c r="A1" s="1" t="s">
        <v>0</v>
      </c>
      <c r="B1" s="1" t="s">
        <v>47</v>
      </c>
      <c r="D1" s="1" t="s">
        <v>1</v>
      </c>
      <c r="E1" s="29">
        <v>45701</v>
      </c>
      <c r="H1" s="28" t="s">
        <v>146</v>
      </c>
      <c r="I1" s="2" t="s">
        <v>44</v>
      </c>
    </row>
    <row r="2" spans="1:12" ht="15.75" customHeight="1" x14ac:dyDescent="0.2">
      <c r="A2" s="1"/>
      <c r="B2" s="1"/>
      <c r="D2" s="1"/>
    </row>
    <row r="3" spans="1:12" ht="15.75" customHeight="1" x14ac:dyDescent="0.2">
      <c r="A3" s="2" t="s">
        <v>2</v>
      </c>
      <c r="B3" s="3">
        <f>COUNTIF(Scenarios!$F$2:$F$993,"FAIL")</f>
        <v>10</v>
      </c>
      <c r="C3" s="4" t="s">
        <v>3</v>
      </c>
      <c r="D3" s="2">
        <f>COUNTIF(Defects!E2:E607,"Open")</f>
        <v>16</v>
      </c>
      <c r="E3" s="4" t="s">
        <v>4</v>
      </c>
      <c r="F3" s="2">
        <v>1</v>
      </c>
      <c r="G3" s="2"/>
      <c r="H3" s="2"/>
      <c r="I3" s="2"/>
      <c r="J3" s="2"/>
      <c r="K3" s="2"/>
      <c r="L3" s="2"/>
    </row>
    <row r="4" spans="1:12" ht="15.75" customHeight="1" x14ac:dyDescent="0.2">
      <c r="A4" s="2" t="s">
        <v>5</v>
      </c>
      <c r="B4" s="5">
        <f>COUNTIF(Scenarios!$F$2:$F$993,"PASS")</f>
        <v>3</v>
      </c>
      <c r="C4" s="4" t="s">
        <v>6</v>
      </c>
      <c r="D4" s="2">
        <f>COUNTIF(Defects!E2:E607,"Close")</f>
        <v>0</v>
      </c>
      <c r="E4" s="4" t="s">
        <v>7</v>
      </c>
      <c r="F4" s="2">
        <f>COUNTIF(Scenarios!$E$2:$E$7,E4)</f>
        <v>0</v>
      </c>
      <c r="G4" s="2"/>
      <c r="H4" s="2"/>
      <c r="I4" s="2"/>
      <c r="J4" s="2"/>
      <c r="K4" s="2"/>
      <c r="L4" s="2"/>
    </row>
    <row r="5" spans="1:12" ht="15.75" customHeight="1" x14ac:dyDescent="0.2">
      <c r="A5" s="2" t="s">
        <v>8</v>
      </c>
      <c r="B5" s="6">
        <f>COUNTIF(Scenarios!$F$2:$F$993,"NOT RUN")</f>
        <v>6</v>
      </c>
      <c r="C5" s="4" t="s">
        <v>9</v>
      </c>
      <c r="D5" s="2">
        <f>SUM(D3:D4)</f>
        <v>16</v>
      </c>
      <c r="E5" s="4" t="s">
        <v>10</v>
      </c>
      <c r="F5" s="2">
        <f>SUM(F3:F4)</f>
        <v>1</v>
      </c>
      <c r="G5" s="2"/>
      <c r="H5" s="2"/>
      <c r="I5" s="2"/>
      <c r="J5" s="2"/>
      <c r="K5" s="2"/>
      <c r="L5" s="2"/>
    </row>
    <row r="6" spans="1:12" ht="15.75" customHeight="1" x14ac:dyDescent="0.2">
      <c r="A6" s="2" t="s">
        <v>11</v>
      </c>
      <c r="B6" s="7">
        <f>COUNTIF(Scenarios!$F$2:$F$993,"BLOCK")</f>
        <v>0</v>
      </c>
      <c r="C6" s="2"/>
      <c r="D6" s="2"/>
      <c r="E6" s="2"/>
      <c r="F6" s="2"/>
      <c r="G6" s="2"/>
      <c r="H6" s="2"/>
      <c r="I6" s="2"/>
      <c r="J6" s="2"/>
      <c r="K6" s="2"/>
      <c r="L6" s="2"/>
    </row>
    <row r="7" spans="1:12" ht="15.75" customHeight="1" x14ac:dyDescent="0.2">
      <c r="A7" s="2" t="s">
        <v>12</v>
      </c>
      <c r="B7" s="2">
        <f>COUNTIF(Scenarios!$F$2:$F$993,"NA")</f>
        <v>0</v>
      </c>
      <c r="C7" s="2"/>
      <c r="D7" s="2"/>
      <c r="E7" s="2"/>
      <c r="F7" s="2"/>
      <c r="G7" s="2"/>
      <c r="H7" s="2"/>
      <c r="I7" s="2"/>
      <c r="J7" s="2"/>
      <c r="K7" s="2"/>
      <c r="L7" s="2"/>
    </row>
    <row r="8" spans="1:12" ht="15.75" customHeight="1" x14ac:dyDescent="0.2">
      <c r="A8" s="8" t="s">
        <v>9</v>
      </c>
      <c r="B8" s="9">
        <f>SUM(B3:B7)</f>
        <v>19</v>
      </c>
      <c r="C8" s="9"/>
      <c r="D8" s="9"/>
      <c r="E8" s="9"/>
      <c r="F8" s="9"/>
      <c r="G8" s="9"/>
      <c r="H8" s="9"/>
      <c r="I8" s="9"/>
      <c r="J8" s="9"/>
      <c r="K8" s="9"/>
      <c r="L8" s="9"/>
    </row>
    <row r="9" spans="1:12" ht="15.75" customHeight="1" x14ac:dyDescent="0.2">
      <c r="A9" s="30" t="s">
        <v>13</v>
      </c>
      <c r="B9" s="31"/>
      <c r="C9" s="31"/>
      <c r="D9" s="31"/>
      <c r="E9" s="31"/>
      <c r="F9" s="31"/>
      <c r="G9" s="31"/>
      <c r="H9" s="31"/>
      <c r="I9" s="31"/>
      <c r="J9" s="31"/>
      <c r="K9" s="31"/>
      <c r="L9" s="31"/>
    </row>
    <row r="10" spans="1:12" ht="15.75" customHeight="1" x14ac:dyDescent="0.2">
      <c r="A10" s="32" t="s">
        <v>14</v>
      </c>
      <c r="B10" s="31"/>
      <c r="C10" s="31"/>
      <c r="D10" s="32" t="s">
        <v>15</v>
      </c>
      <c r="E10" s="31"/>
      <c r="F10" s="31"/>
      <c r="G10" s="31"/>
      <c r="H10" s="31"/>
      <c r="I10" s="31"/>
      <c r="J10" s="32" t="s">
        <v>16</v>
      </c>
      <c r="K10" s="31"/>
      <c r="L10" s="31"/>
    </row>
    <row r="11" spans="1:12" ht="25.5" x14ac:dyDescent="0.2">
      <c r="A11" s="10" t="s">
        <v>17</v>
      </c>
      <c r="B11" s="10" t="s">
        <v>18</v>
      </c>
      <c r="C11" s="10" t="s">
        <v>48</v>
      </c>
      <c r="D11" s="11" t="s">
        <v>19</v>
      </c>
      <c r="E11" s="11" t="s">
        <v>20</v>
      </c>
      <c r="F11" s="26" t="s">
        <v>21</v>
      </c>
      <c r="G11" s="26" t="s">
        <v>22</v>
      </c>
      <c r="H11" s="26" t="s">
        <v>61</v>
      </c>
      <c r="I11" s="26" t="s">
        <v>45</v>
      </c>
      <c r="J11" s="12" t="s">
        <v>23</v>
      </c>
      <c r="K11" s="12" t="s">
        <v>24</v>
      </c>
      <c r="L11" s="12" t="s">
        <v>25</v>
      </c>
    </row>
    <row r="12" spans="1:12" ht="15.75" customHeight="1" x14ac:dyDescent="0.2">
      <c r="A12" s="2" t="s">
        <v>41</v>
      </c>
      <c r="B12" s="1" t="s">
        <v>42</v>
      </c>
      <c r="C12" s="1" t="s">
        <v>62</v>
      </c>
      <c r="D12" s="13">
        <f>COUNTIFS(Scenarios!$C$2:$C$1243,CONCATENATE($C12," IS ",D$11))</f>
        <v>3</v>
      </c>
      <c r="E12" s="13">
        <f>COUNTIFS(Scenarios!$C$2:$C$1243,CONCATENATE($C12," IS ",E$11))</f>
        <v>9</v>
      </c>
      <c r="F12" s="13">
        <f>COUNTIFS(Scenarios!$C$2:$C$1243,CONCATENATE($C12," IS ",F$11))</f>
        <v>2</v>
      </c>
      <c r="G12" s="13">
        <f>COUNTIFS(Scenarios!$C$2:$C$1243,CONCATENATE($C12," IS ",G$11))</f>
        <v>1</v>
      </c>
      <c r="H12" s="13">
        <f>COUNTIFS(Scenarios!$C$2:$C$1243,CONCATENATE($C12," IS ",H$11))</f>
        <v>3</v>
      </c>
      <c r="I12" s="13">
        <f>COUNTIFS(Scenarios!$C$2:$C$1243,CONCATENATE($C12," IS ",I$11))</f>
        <v>1</v>
      </c>
      <c r="J12" s="2"/>
      <c r="K12" s="2"/>
      <c r="L12" s="2" t="s">
        <v>26</v>
      </c>
    </row>
  </sheetData>
  <mergeCells count="4">
    <mergeCell ref="A9:L9"/>
    <mergeCell ref="A10:C10"/>
    <mergeCell ref="D10:I10"/>
    <mergeCell ref="J10:L10"/>
  </mergeCells>
  <phoneticPr fontId="4" type="noConversion"/>
  <conditionalFormatting sqref="C20">
    <cfRule type="notContainsBlanks" dxfId="6" priority="7">
      <formula>LEN(TRIM(C20))&gt;0</formula>
    </cfRule>
  </conditionalFormatting>
  <conditionalFormatting sqref="D12:I12">
    <cfRule type="expression" dxfId="5" priority="1">
      <formula>COUNTIFS(INDIRECT("Scenarios!$C$2:$C$1420"),CONCATENATE($C12," IS ",D$11),INDIRECT("Scenarios!$F$2:$F$1420"),"FAIL")&gt;=1</formula>
    </cfRule>
    <cfRule type="expression" dxfId="4" priority="2">
      <formula>COUNTIFS(INDIRECT("Scenarios!$C$2:$C$1420"),CONCATENATE($C12," IS ",D$11),INDIRECT("Scenarios!$F$2:$F$1420"),"BLOCK")&gt;=1</formula>
    </cfRule>
    <cfRule type="expression" dxfId="3" priority="3">
      <formula>COUNTIFS(INDIRECT("Scenarios!$C$2:$C$1420"),CONCATENATE($C12," IS ",D$11),INDIRECT("Scenarios!$F$2:$F$1420"),"NOT RUN")&gt;=1</formula>
    </cfRule>
    <cfRule type="expression" dxfId="2" priority="4">
      <formula>COUNTIFS(INDIRECT("Scenarios!$C$2:$C$1420"),CONCATENATE($C12," IS ",D$11),INDIRECT("Scenarios!$F$2:$F$1420"),"PASS")&gt;=1</formula>
    </cfRule>
    <cfRule type="notContainsBlanks" dxfId="1" priority="5">
      <formula>LEN(TRIM(D12))&gt;0</formula>
    </cfRule>
  </conditionalFormatting>
  <conditionalFormatting sqref="E16">
    <cfRule type="notContainsBlanks" dxfId="0" priority="6">
      <formula>LEN(TRIM(E16))&gt;0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0"/>
  <sheetViews>
    <sheetView workbookViewId="0">
      <selection activeCell="D11" sqref="D11"/>
    </sheetView>
  </sheetViews>
  <sheetFormatPr defaultColWidth="14.42578125" defaultRowHeight="15.75" customHeight="1" x14ac:dyDescent="0.2"/>
  <cols>
    <col min="1" max="1" width="34.42578125" style="15" customWidth="1"/>
    <col min="2" max="2" width="22.85546875" style="15" bestFit="1" customWidth="1"/>
    <col min="3" max="3" width="33.5703125" style="15" customWidth="1"/>
    <col min="4" max="4" width="134.5703125" style="15" customWidth="1"/>
    <col min="5" max="6" width="14.42578125" style="15"/>
    <col min="7" max="7" width="111.85546875" style="15" bestFit="1" customWidth="1"/>
    <col min="8" max="8" width="14.42578125" style="15"/>
    <col min="9" max="9" width="74.42578125" style="15" customWidth="1"/>
    <col min="10" max="16384" width="14.42578125" style="15"/>
  </cols>
  <sheetData>
    <row r="1" spans="1:8" s="24" customFormat="1" ht="15.75" customHeight="1" x14ac:dyDescent="0.25">
      <c r="A1" s="22" t="s">
        <v>27</v>
      </c>
      <c r="B1" s="23" t="s">
        <v>28</v>
      </c>
      <c r="C1" s="23" t="s">
        <v>29</v>
      </c>
      <c r="D1" s="23" t="s">
        <v>30</v>
      </c>
      <c r="E1" s="23" t="s">
        <v>31</v>
      </c>
      <c r="F1" s="23" t="s">
        <v>25</v>
      </c>
      <c r="G1" s="23" t="s">
        <v>24</v>
      </c>
      <c r="H1" s="24" t="s">
        <v>46</v>
      </c>
    </row>
    <row r="2" spans="1:8" ht="15.75" customHeight="1" x14ac:dyDescent="0.2">
      <c r="A2" s="15" t="str">
        <f>Summary!$C$12</f>
        <v>User registration</v>
      </c>
      <c r="B2" s="15" t="str">
        <f>Summary!$E$11</f>
        <v>Compliance</v>
      </c>
      <c r="C2" s="15" t="str">
        <f t="shared" ref="C2:C12" si="0">CONCATENATE(A2," Is ",B2)</f>
        <v>User registration Is Compliance</v>
      </c>
      <c r="D2" s="14" t="s">
        <v>124</v>
      </c>
      <c r="F2" s="33" t="s">
        <v>51</v>
      </c>
      <c r="G2" s="14" t="s">
        <v>49</v>
      </c>
    </row>
    <row r="3" spans="1:8" ht="33.75" customHeight="1" x14ac:dyDescent="0.2">
      <c r="A3" s="15" t="str">
        <f>Summary!$C$12</f>
        <v>User registration</v>
      </c>
      <c r="B3" s="15" t="str">
        <f>Summary!$E$11</f>
        <v>Compliance</v>
      </c>
      <c r="C3" s="15" t="str">
        <f t="shared" si="0"/>
        <v>User registration Is Compliance</v>
      </c>
      <c r="D3" s="14" t="s">
        <v>125</v>
      </c>
      <c r="F3" s="34" t="s">
        <v>50</v>
      </c>
      <c r="G3" s="14" t="s">
        <v>55</v>
      </c>
      <c r="H3" s="15" t="s">
        <v>143</v>
      </c>
    </row>
    <row r="4" spans="1:8" ht="26.25" customHeight="1" x14ac:dyDescent="0.2">
      <c r="A4" s="15" t="str">
        <f>Summary!$C$12</f>
        <v>User registration</v>
      </c>
      <c r="B4" s="15" t="str">
        <f>Summary!$E$11</f>
        <v>Compliance</v>
      </c>
      <c r="C4" s="15" t="str">
        <f t="shared" si="0"/>
        <v>User registration Is Compliance</v>
      </c>
      <c r="D4" s="14" t="s">
        <v>126</v>
      </c>
      <c r="F4" s="34" t="s">
        <v>50</v>
      </c>
      <c r="G4" s="14" t="s">
        <v>60</v>
      </c>
      <c r="H4" s="15" t="s">
        <v>129</v>
      </c>
    </row>
    <row r="5" spans="1:8" ht="15.75" customHeight="1" x14ac:dyDescent="0.2">
      <c r="A5" s="15" t="str">
        <f>Summary!$C$12</f>
        <v>User registration</v>
      </c>
      <c r="B5" s="15" t="str">
        <f>Summary!$E$11</f>
        <v>Compliance</v>
      </c>
      <c r="C5" s="15" t="str">
        <f t="shared" si="0"/>
        <v>User registration Is Compliance</v>
      </c>
      <c r="D5" s="14" t="s">
        <v>128</v>
      </c>
      <c r="F5" s="34" t="s">
        <v>50</v>
      </c>
      <c r="G5" s="14"/>
      <c r="H5" s="15" t="s">
        <v>53</v>
      </c>
    </row>
    <row r="6" spans="1:8" ht="15.75" customHeight="1" x14ac:dyDescent="0.2">
      <c r="A6" s="15" t="str">
        <f>Summary!$C$12</f>
        <v>User registration</v>
      </c>
      <c r="B6" s="15" t="str">
        <f>Summary!$E$11</f>
        <v>Compliance</v>
      </c>
      <c r="C6" s="15" t="str">
        <f t="shared" si="0"/>
        <v>User registration Is Compliance</v>
      </c>
      <c r="D6" s="14" t="s">
        <v>130</v>
      </c>
      <c r="F6" s="33" t="s">
        <v>51</v>
      </c>
      <c r="G6" s="14"/>
    </row>
    <row r="7" spans="1:8" ht="15.75" customHeight="1" x14ac:dyDescent="0.2">
      <c r="A7" s="15" t="str">
        <f>Summary!$C$12</f>
        <v>User registration</v>
      </c>
      <c r="B7" s="15" t="str">
        <f>Summary!$E$11</f>
        <v>Compliance</v>
      </c>
      <c r="C7" s="15" t="str">
        <f t="shared" si="0"/>
        <v>User registration Is Compliance</v>
      </c>
      <c r="D7" s="14" t="s">
        <v>131</v>
      </c>
      <c r="F7" s="34" t="s">
        <v>50</v>
      </c>
      <c r="G7" s="14"/>
      <c r="H7" s="15" t="s">
        <v>53</v>
      </c>
    </row>
    <row r="8" spans="1:8" ht="12.75" x14ac:dyDescent="0.2">
      <c r="A8" s="15" t="str">
        <f>Summary!$C$12</f>
        <v>User registration</v>
      </c>
      <c r="B8" s="15" t="str">
        <f>Summary!$E$11</f>
        <v>Compliance</v>
      </c>
      <c r="C8" s="15" t="str">
        <f t="shared" si="0"/>
        <v>User registration Is Compliance</v>
      </c>
      <c r="D8" s="14" t="s">
        <v>132</v>
      </c>
      <c r="F8" s="33" t="s">
        <v>51</v>
      </c>
      <c r="G8" s="14"/>
    </row>
    <row r="9" spans="1:8" ht="12.75" x14ac:dyDescent="0.2">
      <c r="A9" s="15" t="str">
        <f>Summary!$C$12</f>
        <v>User registration</v>
      </c>
      <c r="B9" s="15" t="str">
        <f>Summary!$E$11</f>
        <v>Compliance</v>
      </c>
      <c r="C9" s="15" t="str">
        <f t="shared" ref="C9" si="1">CONCATENATE(A9," Is ",B9)</f>
        <v>User registration Is Compliance</v>
      </c>
      <c r="D9" s="14" t="s">
        <v>133</v>
      </c>
      <c r="F9" s="34" t="s">
        <v>50</v>
      </c>
      <c r="G9" s="14"/>
    </row>
    <row r="10" spans="1:8" ht="48" x14ac:dyDescent="0.2">
      <c r="A10" s="15" t="str">
        <f>Summary!$C$12</f>
        <v>User registration</v>
      </c>
      <c r="B10" s="15" t="str">
        <f>Summary!$E$11</f>
        <v>Compliance</v>
      </c>
      <c r="C10" s="15" t="str">
        <f t="shared" si="0"/>
        <v>User registration Is Compliance</v>
      </c>
      <c r="D10" s="15" t="s">
        <v>144</v>
      </c>
      <c r="E10" s="15" t="s">
        <v>4</v>
      </c>
      <c r="F10" s="34" t="s">
        <v>50</v>
      </c>
      <c r="G10" s="14"/>
      <c r="H10" s="15" t="s">
        <v>145</v>
      </c>
    </row>
    <row r="11" spans="1:8" ht="38.25" customHeight="1" x14ac:dyDescent="0.2">
      <c r="A11" s="15" t="str">
        <f>Summary!$C$12</f>
        <v>User registration</v>
      </c>
      <c r="B11" s="15" t="str">
        <f>Summary!$D$11</f>
        <v>Secure</v>
      </c>
      <c r="C11" s="15" t="str">
        <f t="shared" si="0"/>
        <v>User registration Is Secure</v>
      </c>
      <c r="D11" s="15" t="s">
        <v>134</v>
      </c>
      <c r="F11" s="34" t="s">
        <v>50</v>
      </c>
      <c r="H11" s="15" t="s">
        <v>64</v>
      </c>
    </row>
    <row r="12" spans="1:8" ht="46.5" customHeight="1" x14ac:dyDescent="0.2">
      <c r="A12" s="15" t="str">
        <f>Summary!$C$12</f>
        <v>User registration</v>
      </c>
      <c r="B12" s="15" t="str">
        <f>Summary!$D$11</f>
        <v>Secure</v>
      </c>
      <c r="C12" s="15" t="str">
        <f t="shared" si="0"/>
        <v>User registration Is Secure</v>
      </c>
      <c r="D12" s="15" t="s">
        <v>121</v>
      </c>
      <c r="F12" s="34" t="s">
        <v>50</v>
      </c>
      <c r="H12" s="15" t="s">
        <v>122</v>
      </c>
    </row>
    <row r="13" spans="1:8" ht="46.5" customHeight="1" x14ac:dyDescent="0.2">
      <c r="A13" s="15" t="str">
        <f>Summary!$C$12</f>
        <v>User registration</v>
      </c>
      <c r="B13" s="15" t="str">
        <f>Summary!$D$11</f>
        <v>Secure</v>
      </c>
      <c r="C13" s="15" t="str">
        <f t="shared" ref="C13" si="2">CONCATENATE(A13," Is ",B13)</f>
        <v>User registration Is Secure</v>
      </c>
      <c r="D13" s="15" t="s">
        <v>142</v>
      </c>
      <c r="F13" s="34" t="s">
        <v>50</v>
      </c>
      <c r="H13" s="15" t="s">
        <v>81</v>
      </c>
    </row>
    <row r="14" spans="1:8" ht="50.25" customHeight="1" x14ac:dyDescent="0.2">
      <c r="A14" s="15" t="str">
        <f>Summary!$C$12</f>
        <v>User registration</v>
      </c>
      <c r="B14" s="15" t="str">
        <f>Summary!$F$11</f>
        <v>Auditable</v>
      </c>
      <c r="C14" s="15" t="str">
        <f t="shared" ref="C14" si="3">CONCATENATE(A14," Is ",B14)</f>
        <v>User registration Is Auditable</v>
      </c>
      <c r="D14" s="15" t="s">
        <v>135</v>
      </c>
      <c r="F14" s="27" t="s">
        <v>8</v>
      </c>
      <c r="G14" s="14"/>
    </row>
    <row r="15" spans="1:8" ht="15.75" customHeight="1" x14ac:dyDescent="0.2">
      <c r="A15" s="15" t="str">
        <f>Summary!$C$12</f>
        <v>User registration</v>
      </c>
      <c r="B15" s="15" t="str">
        <f>Summary!$F$11</f>
        <v>Auditable</v>
      </c>
      <c r="C15" s="15" t="str">
        <f t="shared" ref="C15:C20" si="4">CONCATENATE(A15," Is ",B15)</f>
        <v>User registration Is Auditable</v>
      </c>
      <c r="D15" s="15" t="s">
        <v>136</v>
      </c>
      <c r="F15" s="27" t="s">
        <v>8</v>
      </c>
      <c r="G15" s="14"/>
    </row>
    <row r="16" spans="1:8" ht="135" customHeight="1" x14ac:dyDescent="0.2">
      <c r="A16" s="15" t="str">
        <f>Summary!$C$12</f>
        <v>User registration</v>
      </c>
      <c r="B16" s="15" t="str">
        <f>Summary!$G$11</f>
        <v xml:space="preserve">Accessible </v>
      </c>
      <c r="C16" s="15" t="str">
        <f>CONCATENATE(A16," Is ",B16)</f>
        <v xml:space="preserve">User registration Is Accessible </v>
      </c>
      <c r="D16" s="15" t="s">
        <v>137</v>
      </c>
      <c r="F16" s="34" t="s">
        <v>50</v>
      </c>
      <c r="G16" s="15" t="s">
        <v>95</v>
      </c>
      <c r="H16" s="15" t="s">
        <v>127</v>
      </c>
    </row>
    <row r="17" spans="1:7" ht="15.75" customHeight="1" x14ac:dyDescent="0.2">
      <c r="A17" s="15" t="str">
        <f>Summary!$C$12</f>
        <v>User registration</v>
      </c>
      <c r="B17" s="15" t="str">
        <f>Summary!$H$11</f>
        <v xml:space="preserve">Responsive </v>
      </c>
      <c r="C17" s="15" t="str">
        <f t="shared" si="4"/>
        <v xml:space="preserve">User registration Is Responsive </v>
      </c>
      <c r="D17" s="15" t="s">
        <v>138</v>
      </c>
      <c r="F17" s="27" t="s">
        <v>8</v>
      </c>
    </row>
    <row r="18" spans="1:7" ht="15.75" customHeight="1" x14ac:dyDescent="0.2">
      <c r="A18" s="15" t="str">
        <f>Summary!$C$12</f>
        <v>User registration</v>
      </c>
      <c r="B18" s="15" t="str">
        <f>Summary!$H$11</f>
        <v xml:space="preserve">Responsive </v>
      </c>
      <c r="C18" s="15" t="str">
        <f t="shared" ref="C18" si="5">CONCATENATE(A18," Is ",B18)</f>
        <v xml:space="preserve">User registration Is Responsive </v>
      </c>
      <c r="D18" s="15" t="s">
        <v>139</v>
      </c>
      <c r="F18" s="27" t="s">
        <v>8</v>
      </c>
      <c r="G18" s="14"/>
    </row>
    <row r="19" spans="1:7" ht="15.75" customHeight="1" x14ac:dyDescent="0.2">
      <c r="A19" s="15" t="str">
        <f>Summary!$C$12</f>
        <v>User registration</v>
      </c>
      <c r="B19" s="15" t="str">
        <f>Summary!$H$11</f>
        <v xml:space="preserve">Responsive </v>
      </c>
      <c r="C19" s="15" t="str">
        <f t="shared" si="4"/>
        <v xml:space="preserve">User registration Is Responsive </v>
      </c>
      <c r="D19" s="15" t="s">
        <v>140</v>
      </c>
      <c r="F19" s="27" t="s">
        <v>8</v>
      </c>
      <c r="G19" s="14"/>
    </row>
    <row r="20" spans="1:7" ht="43.5" customHeight="1" x14ac:dyDescent="0.2">
      <c r="A20" s="15" t="str">
        <f>Summary!$C$12</f>
        <v>User registration</v>
      </c>
      <c r="B20" s="15" t="str">
        <f>Summary!$I$11</f>
        <v>Fast (Performance Testing)</v>
      </c>
      <c r="C20" s="15" t="str">
        <f t="shared" si="4"/>
        <v>User registration Is Fast (Performance Testing)</v>
      </c>
      <c r="D20" s="14" t="s">
        <v>141</v>
      </c>
      <c r="F20" s="27" t="s">
        <v>8</v>
      </c>
    </row>
    <row r="21" spans="1:7" ht="12" x14ac:dyDescent="0.2">
      <c r="A21" s="14"/>
      <c r="D21" s="14"/>
      <c r="F21" s="14"/>
    </row>
    <row r="22" spans="1:7" ht="12" x14ac:dyDescent="0.2">
      <c r="A22" s="14"/>
      <c r="D22" s="14"/>
      <c r="F22" s="14"/>
    </row>
    <row r="23" spans="1:7" ht="12" x14ac:dyDescent="0.2">
      <c r="A23" s="14"/>
      <c r="B23" s="14"/>
      <c r="D23" s="14"/>
      <c r="F23" s="14"/>
    </row>
    <row r="24" spans="1:7" ht="12" x14ac:dyDescent="0.2">
      <c r="A24" s="14"/>
      <c r="D24" s="14"/>
      <c r="F24" s="14"/>
    </row>
    <row r="25" spans="1:7" ht="12" x14ac:dyDescent="0.2">
      <c r="A25" s="14"/>
      <c r="D25" s="14"/>
      <c r="F25" s="14"/>
    </row>
    <row r="26" spans="1:7" ht="12" x14ac:dyDescent="0.2">
      <c r="A26" s="14"/>
      <c r="D26" s="14"/>
      <c r="F26" s="14"/>
    </row>
    <row r="27" spans="1:7" ht="12" x14ac:dyDescent="0.2">
      <c r="A27" s="14"/>
      <c r="D27" s="14"/>
      <c r="F27" s="14"/>
    </row>
    <row r="28" spans="1:7" ht="12" x14ac:dyDescent="0.2">
      <c r="A28" s="14"/>
      <c r="D28" s="14"/>
      <c r="F28" s="14"/>
    </row>
    <row r="29" spans="1:7" ht="12" x14ac:dyDescent="0.2">
      <c r="A29" s="14"/>
      <c r="D29" s="14"/>
      <c r="F29" s="14"/>
    </row>
    <row r="30" spans="1:7" ht="12" x14ac:dyDescent="0.2">
      <c r="A30" s="14"/>
      <c r="D30" s="14"/>
      <c r="F30" s="14"/>
    </row>
  </sheetData>
  <customSheetViews>
    <customSheetView guid="{30C045F4-8E84-465C-9537-36842D8391D0}" filter="1" showAutoFilter="1">
      <pageMargins left="0.7" right="0.7" top="0.75" bottom="0.75" header="0.3" footer="0.3"/>
      <autoFilter ref="A1:G9" xr:uid="{28E0B2E6-327C-4BEF-BE9A-1A0DD46D9021}">
        <filterColumn colId="2">
          <filters>
            <filter val="Registration Is Compliance"/>
            <filter val="Registration Is Auditable"/>
          </filters>
        </filterColumn>
      </autoFilter>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0"/>
  <sheetViews>
    <sheetView topLeftCell="A16" zoomScale="106" zoomScaleNormal="106" workbookViewId="0">
      <selection activeCell="B3" sqref="B3"/>
    </sheetView>
  </sheetViews>
  <sheetFormatPr defaultColWidth="14.42578125" defaultRowHeight="15.75" customHeight="1" x14ac:dyDescent="0.2"/>
  <cols>
    <col min="1" max="1" width="14.42578125" style="16"/>
    <col min="2" max="2" width="20.140625" style="16" customWidth="1"/>
    <col min="3" max="3" width="45.85546875" style="16" customWidth="1"/>
    <col min="4" max="4" width="53.5703125" style="16" customWidth="1"/>
    <col min="5" max="7" width="14.42578125" style="16"/>
    <col min="8" max="8" width="51.5703125" style="16" customWidth="1"/>
    <col min="9" max="9" width="77.42578125" style="16" customWidth="1"/>
    <col min="10" max="10" width="94.7109375" style="16" customWidth="1"/>
    <col min="11" max="16384" width="14.42578125" style="16"/>
  </cols>
  <sheetData>
    <row r="1" spans="1:10" s="21" customFormat="1" ht="15.75" customHeight="1" x14ac:dyDescent="0.25">
      <c r="A1" s="25" t="s">
        <v>32</v>
      </c>
      <c r="B1" s="25" t="s">
        <v>33</v>
      </c>
      <c r="C1" s="25" t="s">
        <v>34</v>
      </c>
      <c r="D1" s="25" t="s">
        <v>43</v>
      </c>
      <c r="E1" s="25" t="s">
        <v>35</v>
      </c>
      <c r="F1" s="25" t="s">
        <v>36</v>
      </c>
      <c r="G1" s="25" t="s">
        <v>37</v>
      </c>
      <c r="H1" s="25" t="s">
        <v>24</v>
      </c>
      <c r="I1" s="25" t="s">
        <v>38</v>
      </c>
      <c r="J1" s="21" t="s">
        <v>52</v>
      </c>
    </row>
    <row r="2" spans="1:10" ht="288.75" customHeight="1" x14ac:dyDescent="0.2">
      <c r="A2" s="17" t="s">
        <v>53</v>
      </c>
      <c r="B2" s="17" t="s">
        <v>54</v>
      </c>
      <c r="C2" s="17" t="s">
        <v>86</v>
      </c>
      <c r="D2" s="17" t="s">
        <v>56</v>
      </c>
      <c r="E2" s="17" t="s">
        <v>39</v>
      </c>
      <c r="F2" s="17" t="s">
        <v>40</v>
      </c>
      <c r="G2" s="17" t="s">
        <v>40</v>
      </c>
      <c r="H2" s="17" t="s">
        <v>57</v>
      </c>
      <c r="I2" s="17" t="s">
        <v>58</v>
      </c>
    </row>
    <row r="3" spans="1:10" ht="288.75" customHeight="1" x14ac:dyDescent="0.2">
      <c r="A3" s="17" t="s">
        <v>59</v>
      </c>
      <c r="B3" s="17" t="s">
        <v>54</v>
      </c>
      <c r="C3" s="17" t="s">
        <v>60</v>
      </c>
      <c r="D3" s="17" t="s">
        <v>120</v>
      </c>
      <c r="E3" s="17" t="s">
        <v>39</v>
      </c>
      <c r="F3" s="17" t="s">
        <v>40</v>
      </c>
      <c r="G3" s="17" t="s">
        <v>40</v>
      </c>
      <c r="H3" s="17" t="s">
        <v>57</v>
      </c>
      <c r="I3" s="17" t="s">
        <v>58</v>
      </c>
    </row>
    <row r="4" spans="1:10" ht="296.25" customHeight="1" x14ac:dyDescent="0.2">
      <c r="A4" s="17" t="s">
        <v>63</v>
      </c>
      <c r="B4" s="17" t="s">
        <v>54</v>
      </c>
      <c r="C4" s="17" t="s">
        <v>91</v>
      </c>
      <c r="D4" s="17" t="s">
        <v>92</v>
      </c>
      <c r="E4" s="17" t="s">
        <v>39</v>
      </c>
      <c r="F4" s="17" t="s">
        <v>71</v>
      </c>
      <c r="G4" s="17" t="s">
        <v>40</v>
      </c>
      <c r="H4" s="17" t="s">
        <v>77</v>
      </c>
      <c r="I4" s="17" t="s">
        <v>58</v>
      </c>
    </row>
    <row r="5" spans="1:10" ht="296.25" customHeight="1" x14ac:dyDescent="0.2">
      <c r="A5" s="17" t="s">
        <v>64</v>
      </c>
      <c r="B5" s="17" t="s">
        <v>54</v>
      </c>
      <c r="C5" s="17" t="s">
        <v>100</v>
      </c>
      <c r="D5" s="17" t="s">
        <v>99</v>
      </c>
      <c r="E5" s="17" t="s">
        <v>39</v>
      </c>
      <c r="F5" s="17" t="s">
        <v>40</v>
      </c>
      <c r="G5" s="17" t="s">
        <v>40</v>
      </c>
      <c r="H5" s="17" t="s">
        <v>101</v>
      </c>
      <c r="I5" s="17" t="s">
        <v>58</v>
      </c>
    </row>
    <row r="6" spans="1:10" ht="288.75" customHeight="1" x14ac:dyDescent="0.2">
      <c r="A6" s="17" t="s">
        <v>66</v>
      </c>
      <c r="B6" s="17" t="s">
        <v>54</v>
      </c>
      <c r="C6" s="17" t="s">
        <v>123</v>
      </c>
      <c r="D6" s="17" t="s">
        <v>103</v>
      </c>
      <c r="E6" s="17" t="s">
        <v>39</v>
      </c>
      <c r="F6" s="17" t="s">
        <v>40</v>
      </c>
      <c r="G6" s="17" t="s">
        <v>40</v>
      </c>
      <c r="H6" s="17" t="s">
        <v>102</v>
      </c>
      <c r="I6" s="17" t="s">
        <v>58</v>
      </c>
    </row>
    <row r="7" spans="1:10" ht="288.75" customHeight="1" x14ac:dyDescent="0.2">
      <c r="A7" s="17" t="s">
        <v>67</v>
      </c>
      <c r="B7" s="17" t="s">
        <v>54</v>
      </c>
      <c r="C7" s="17" t="s">
        <v>79</v>
      </c>
      <c r="D7" s="17" t="s">
        <v>80</v>
      </c>
      <c r="E7" s="17" t="s">
        <v>39</v>
      </c>
      <c r="F7" s="17" t="s">
        <v>73</v>
      </c>
      <c r="G7" s="17" t="s">
        <v>73</v>
      </c>
      <c r="H7" s="17" t="s">
        <v>74</v>
      </c>
      <c r="I7" s="17" t="s">
        <v>58</v>
      </c>
    </row>
    <row r="8" spans="1:10" ht="293.25" customHeight="1" x14ac:dyDescent="0.2">
      <c r="A8" s="17" t="s">
        <v>68</v>
      </c>
      <c r="B8" s="17" t="s">
        <v>54</v>
      </c>
      <c r="C8" s="17" t="s">
        <v>83</v>
      </c>
      <c r="D8" s="17" t="s">
        <v>82</v>
      </c>
      <c r="E8" s="17" t="s">
        <v>39</v>
      </c>
      <c r="F8" s="17" t="s">
        <v>73</v>
      </c>
      <c r="G8" s="17" t="s">
        <v>40</v>
      </c>
      <c r="H8" s="17" t="s">
        <v>84</v>
      </c>
      <c r="I8" s="17" t="s">
        <v>58</v>
      </c>
    </row>
    <row r="9" spans="1:10" ht="288.75" customHeight="1" x14ac:dyDescent="0.2">
      <c r="A9" s="17" t="s">
        <v>75</v>
      </c>
      <c r="B9" s="17" t="s">
        <v>54</v>
      </c>
      <c r="C9" s="17" t="s">
        <v>104</v>
      </c>
      <c r="D9" s="17" t="s">
        <v>105</v>
      </c>
      <c r="E9" s="17" t="s">
        <v>39</v>
      </c>
      <c r="F9" s="17" t="s">
        <v>40</v>
      </c>
      <c r="G9" s="17" t="s">
        <v>40</v>
      </c>
      <c r="H9" s="17" t="s">
        <v>102</v>
      </c>
      <c r="I9" s="17" t="s">
        <v>58</v>
      </c>
    </row>
    <row r="10" spans="1:10" ht="288.75" customHeight="1" x14ac:dyDescent="0.2">
      <c r="A10" s="17" t="s">
        <v>76</v>
      </c>
      <c r="B10" s="17" t="s">
        <v>54</v>
      </c>
      <c r="C10" s="17" t="s">
        <v>106</v>
      </c>
      <c r="D10" s="17" t="s">
        <v>107</v>
      </c>
      <c r="E10" s="17" t="s">
        <v>39</v>
      </c>
      <c r="F10" s="17" t="s">
        <v>73</v>
      </c>
      <c r="G10" s="17" t="s">
        <v>73</v>
      </c>
      <c r="H10" s="17" t="s">
        <v>108</v>
      </c>
      <c r="I10" s="17" t="s">
        <v>58</v>
      </c>
    </row>
    <row r="11" spans="1:10" ht="288.75" customHeight="1" x14ac:dyDescent="0.2">
      <c r="A11" s="17" t="s">
        <v>78</v>
      </c>
      <c r="B11" s="17" t="s">
        <v>54</v>
      </c>
      <c r="C11" s="17" t="s">
        <v>109</v>
      </c>
      <c r="D11" s="17" t="s">
        <v>110</v>
      </c>
      <c r="E11" s="17" t="s">
        <v>39</v>
      </c>
      <c r="F11" s="17" t="s">
        <v>40</v>
      </c>
      <c r="G11" s="17" t="s">
        <v>40</v>
      </c>
      <c r="H11" s="17" t="s">
        <v>65</v>
      </c>
      <c r="I11" s="17" t="s">
        <v>58</v>
      </c>
    </row>
    <row r="12" spans="1:10" ht="295.5" customHeight="1" x14ac:dyDescent="0.2">
      <c r="A12" s="17" t="s">
        <v>81</v>
      </c>
      <c r="B12" s="17" t="s">
        <v>54</v>
      </c>
      <c r="C12" s="17" t="s">
        <v>111</v>
      </c>
      <c r="D12" s="17" t="s">
        <v>112</v>
      </c>
      <c r="E12" s="17" t="s">
        <v>39</v>
      </c>
      <c r="F12" s="17" t="s">
        <v>40</v>
      </c>
      <c r="G12" s="17" t="s">
        <v>40</v>
      </c>
      <c r="H12" s="17" t="s">
        <v>113</v>
      </c>
      <c r="I12" s="17" t="s">
        <v>58</v>
      </c>
    </row>
    <row r="13" spans="1:10" ht="255" customHeight="1" x14ac:dyDescent="0.2">
      <c r="A13" s="17" t="s">
        <v>85</v>
      </c>
      <c r="B13" s="17" t="s">
        <v>54</v>
      </c>
      <c r="C13" s="17" t="s">
        <v>70</v>
      </c>
      <c r="D13" s="17" t="s">
        <v>69</v>
      </c>
      <c r="E13" s="17" t="s">
        <v>39</v>
      </c>
      <c r="F13" s="17" t="s">
        <v>71</v>
      </c>
      <c r="G13" s="17" t="s">
        <v>71</v>
      </c>
      <c r="H13" s="17" t="s">
        <v>72</v>
      </c>
      <c r="I13" s="17" t="s">
        <v>58</v>
      </c>
    </row>
    <row r="14" spans="1:10" ht="293.25" customHeight="1" x14ac:dyDescent="0.2">
      <c r="A14" s="17" t="s">
        <v>87</v>
      </c>
      <c r="B14" s="17" t="s">
        <v>54</v>
      </c>
      <c r="C14" s="17" t="s">
        <v>88</v>
      </c>
      <c r="D14" s="17" t="s">
        <v>89</v>
      </c>
      <c r="E14" s="17" t="s">
        <v>39</v>
      </c>
      <c r="F14" s="17" t="s">
        <v>73</v>
      </c>
      <c r="G14" s="17" t="s">
        <v>73</v>
      </c>
      <c r="H14" s="17" t="s">
        <v>114</v>
      </c>
      <c r="I14" s="17" t="s">
        <v>58</v>
      </c>
    </row>
    <row r="15" spans="1:10" ht="321.75" customHeight="1" x14ac:dyDescent="0.2">
      <c r="A15" s="17" t="s">
        <v>90</v>
      </c>
      <c r="B15" s="17" t="s">
        <v>54</v>
      </c>
      <c r="C15" s="17" t="s">
        <v>115</v>
      </c>
      <c r="D15" s="17" t="s">
        <v>116</v>
      </c>
      <c r="E15" s="17" t="s">
        <v>39</v>
      </c>
      <c r="F15" s="17" t="s">
        <v>40</v>
      </c>
      <c r="G15" s="17" t="s">
        <v>40</v>
      </c>
      <c r="H15" s="17" t="s">
        <v>93</v>
      </c>
      <c r="I15" s="17" t="s">
        <v>58</v>
      </c>
    </row>
    <row r="16" spans="1:10" ht="357.75" customHeight="1" x14ac:dyDescent="0.2">
      <c r="A16" s="17" t="s">
        <v>94</v>
      </c>
      <c r="B16" s="18" t="s">
        <v>54</v>
      </c>
      <c r="C16" s="19" t="s">
        <v>98</v>
      </c>
      <c r="D16" s="17" t="s">
        <v>97</v>
      </c>
      <c r="E16" s="17" t="s">
        <v>39</v>
      </c>
      <c r="F16" s="17" t="s">
        <v>73</v>
      </c>
      <c r="G16" s="17" t="s">
        <v>73</v>
      </c>
      <c r="H16" s="17" t="s">
        <v>96</v>
      </c>
      <c r="I16" s="17" t="s">
        <v>58</v>
      </c>
    </row>
    <row r="17" spans="1:9" ht="334.5" customHeight="1" x14ac:dyDescent="0.2">
      <c r="A17" s="17" t="s">
        <v>117</v>
      </c>
      <c r="B17" s="18" t="s">
        <v>54</v>
      </c>
      <c r="C17" s="19" t="s">
        <v>118</v>
      </c>
      <c r="D17" s="20" t="s">
        <v>119</v>
      </c>
      <c r="E17" s="17" t="s">
        <v>39</v>
      </c>
      <c r="F17" s="17" t="s">
        <v>40</v>
      </c>
      <c r="G17" s="17" t="s">
        <v>40</v>
      </c>
      <c r="H17" s="17" t="s">
        <v>95</v>
      </c>
      <c r="I17" s="17" t="s">
        <v>58</v>
      </c>
    </row>
    <row r="18" spans="1:9" ht="167.25" customHeight="1" x14ac:dyDescent="0.2">
      <c r="A18" s="17"/>
      <c r="B18" s="17"/>
      <c r="C18" s="17"/>
      <c r="D18" s="17"/>
      <c r="E18" s="17"/>
      <c r="F18" s="17"/>
      <c r="G18" s="17"/>
      <c r="H18" s="17"/>
      <c r="I18" s="17"/>
    </row>
    <row r="19" spans="1:9" ht="138" customHeight="1" x14ac:dyDescent="0.2">
      <c r="A19" s="17"/>
      <c r="B19" s="17"/>
      <c r="C19" s="17"/>
      <c r="D19" s="17"/>
      <c r="E19" s="17"/>
      <c r="F19" s="17"/>
      <c r="G19" s="17"/>
    </row>
    <row r="20" spans="1:9" ht="15.75" customHeight="1" x14ac:dyDescent="0.2">
      <c r="B20" s="17"/>
      <c r="C20" s="17"/>
      <c r="D20" s="17"/>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Scenarios</vt:lpstr>
      <vt:lpstr>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Jashmitha Maddala</dc:creator>
  <cp:lastModifiedBy>Neeraja Maddala</cp:lastModifiedBy>
  <dcterms:created xsi:type="dcterms:W3CDTF">2024-08-08T18:54:02Z</dcterms:created>
  <dcterms:modified xsi:type="dcterms:W3CDTF">2025-02-12T23:02:00Z</dcterms:modified>
</cp:coreProperties>
</file>