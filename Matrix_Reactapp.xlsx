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shm\datacom_test\"/>
    </mc:Choice>
  </mc:AlternateContent>
  <xr:revisionPtr revIDLastSave="0" documentId="13_ncr:1_{555D360B-2E20-4B44-9637-9C95A3440EE4}" xr6:coauthVersionLast="47" xr6:coauthVersionMax="47" xr10:uidLastSave="{00000000-0000-0000-0000-000000000000}"/>
  <bookViews>
    <workbookView xWindow="-120" yWindow="-120" windowWidth="29040" windowHeight="15225" activeTab="2" xr2:uid="{00000000-000D-0000-FFFF-FFFF00000000}"/>
  </bookViews>
  <sheets>
    <sheet name="Summary" sheetId="1" r:id="rId1"/>
    <sheet name="Scenarios" sheetId="2" r:id="rId2"/>
    <sheet name="Defects" sheetId="3" r:id="rId3"/>
  </sheets>
  <definedNames>
    <definedName name="Z_30C045F4_8E84_465C_9537_36842D8391D0_.wvu.FilterData" localSheetId="1" hidden="1">Scenarios!$A$1:$G$9</definedName>
  </definedNames>
  <calcPr calcId="191029"/>
  <customWorkbookViews>
    <customWorkbookView name="Filter 1" guid="{30C045F4-8E84-465C-9537-36842D8391D0}" maximized="1" windowWidth="0" windowHeight="0" activeSheetId="0"/>
  </customWorkbookViews>
</workbook>
</file>

<file path=xl/calcChain.xml><?xml version="1.0" encoding="utf-8"?>
<calcChain xmlns="http://schemas.openxmlformats.org/spreadsheetml/2006/main">
  <c r="B11" i="2" l="1"/>
  <c r="A11" i="2"/>
  <c r="C11" i="2" s="1"/>
  <c r="B12" i="2"/>
  <c r="B22" i="2"/>
  <c r="A22" i="2"/>
  <c r="D3" i="1"/>
  <c r="B27" i="2"/>
  <c r="B26" i="2"/>
  <c r="B25" i="2"/>
  <c r="B24" i="2"/>
  <c r="B23" i="2"/>
  <c r="B21" i="2"/>
  <c r="B20" i="2"/>
  <c r="B18" i="2"/>
  <c r="B19" i="2"/>
  <c r="B17" i="2"/>
  <c r="A27" i="2"/>
  <c r="A26" i="2"/>
  <c r="C26" i="2" s="1"/>
  <c r="A25" i="2"/>
  <c r="A24" i="2"/>
  <c r="A23" i="2"/>
  <c r="A21" i="2"/>
  <c r="A20" i="2"/>
  <c r="A19" i="2"/>
  <c r="A18" i="2"/>
  <c r="A17" i="2"/>
  <c r="B16" i="2"/>
  <c r="A16" i="2"/>
  <c r="B15" i="2"/>
  <c r="A15" i="2"/>
  <c r="B10" i="2"/>
  <c r="B9" i="2"/>
  <c r="B8" i="2"/>
  <c r="B7" i="2"/>
  <c r="B14" i="2"/>
  <c r="A14" i="2"/>
  <c r="B13" i="2"/>
  <c r="A13" i="2"/>
  <c r="A12" i="2"/>
  <c r="A10" i="2"/>
  <c r="A9" i="2"/>
  <c r="A8" i="2"/>
  <c r="A7" i="2"/>
  <c r="B6" i="2"/>
  <c r="A6" i="2"/>
  <c r="B5" i="2"/>
  <c r="A5" i="2"/>
  <c r="B4" i="2"/>
  <c r="A4" i="2"/>
  <c r="B3" i="2"/>
  <c r="A3" i="2"/>
  <c r="B2" i="2"/>
  <c r="A2" i="2"/>
  <c r="B7" i="1"/>
  <c r="B6" i="1"/>
  <c r="B5" i="1"/>
  <c r="F4" i="1"/>
  <c r="D4" i="1"/>
  <c r="B4" i="1"/>
  <c r="F3" i="1"/>
  <c r="B3" i="1"/>
  <c r="D5" i="1" l="1"/>
  <c r="C19" i="2"/>
  <c r="C22" i="2"/>
  <c r="C18" i="2"/>
  <c r="C25" i="2"/>
  <c r="C20" i="2"/>
  <c r="C23" i="2"/>
  <c r="C17" i="2"/>
  <c r="C27" i="2"/>
  <c r="C24" i="2"/>
  <c r="C21" i="2"/>
  <c r="C10" i="2"/>
  <c r="C3" i="2"/>
  <c r="C16" i="2"/>
  <c r="C13" i="2"/>
  <c r="F5" i="1"/>
  <c r="C14" i="2"/>
  <c r="C4" i="2"/>
  <c r="C8" i="2"/>
  <c r="B8" i="1"/>
  <c r="C7" i="2"/>
  <c r="C12" i="2"/>
  <c r="C2" i="2"/>
  <c r="C5" i="2"/>
  <c r="C9" i="2"/>
  <c r="C6" i="2"/>
  <c r="C15" i="2"/>
  <c r="H12" i="1" l="1"/>
  <c r="G12" i="1"/>
  <c r="I12" i="1"/>
  <c r="E12" i="1"/>
  <c r="F12" i="1"/>
  <c r="D12" i="1"/>
</calcChain>
</file>

<file path=xl/sharedStrings.xml><?xml version="1.0" encoding="utf-8"?>
<sst xmlns="http://schemas.openxmlformats.org/spreadsheetml/2006/main" count="117" uniqueCount="77">
  <si>
    <t>Tester:</t>
  </si>
  <si>
    <t>Last Update:</t>
  </si>
  <si>
    <t>FAIL</t>
  </si>
  <si>
    <t>Open Defects</t>
  </si>
  <si>
    <t>Automated</t>
  </si>
  <si>
    <t>PASS</t>
  </si>
  <si>
    <t>Closed Defects</t>
  </si>
  <si>
    <t>Manual</t>
  </si>
  <si>
    <t>NOT RUN</t>
  </si>
  <si>
    <t>Total</t>
  </si>
  <si>
    <t xml:space="preserve">Total </t>
  </si>
  <si>
    <t>BLOCK</t>
  </si>
  <si>
    <t xml:space="preserve">NOT APPLICABLE </t>
  </si>
  <si>
    <t>ACC Matrix</t>
  </si>
  <si>
    <t>Components</t>
  </si>
  <si>
    <t>Attributes</t>
  </si>
  <si>
    <t>General</t>
  </si>
  <si>
    <t>Sprint</t>
  </si>
  <si>
    <t>Feature</t>
  </si>
  <si>
    <t>Secure</t>
  </si>
  <si>
    <t>Compliance</t>
  </si>
  <si>
    <t>Auditable</t>
  </si>
  <si>
    <t xml:space="preserve">Accessible </t>
  </si>
  <si>
    <t>Build #</t>
  </si>
  <si>
    <t>Comments</t>
  </si>
  <si>
    <t>Status</t>
  </si>
  <si>
    <t>Done</t>
  </si>
  <si>
    <t>Component</t>
  </si>
  <si>
    <t>Attribute</t>
  </si>
  <si>
    <t>Capability</t>
  </si>
  <si>
    <t>Scenario</t>
  </si>
  <si>
    <t>Tag</t>
  </si>
  <si>
    <t>Defect #</t>
  </si>
  <si>
    <t>Story/Component</t>
  </si>
  <si>
    <t>Defect Description</t>
  </si>
  <si>
    <t xml:space="preserve">Status </t>
  </si>
  <si>
    <t>Severity</t>
  </si>
  <si>
    <t>Impact</t>
  </si>
  <si>
    <t>Actions</t>
  </si>
  <si>
    <t>Open</t>
  </si>
  <si>
    <t>High</t>
  </si>
  <si>
    <t>Sprint1</t>
  </si>
  <si>
    <t>User Signup</t>
  </si>
  <si>
    <t>Steps to Reproduce</t>
  </si>
  <si>
    <t xml:space="preserve">
</t>
  </si>
  <si>
    <t>Fast (Performance Testing)</t>
  </si>
  <si>
    <t>Defect</t>
  </si>
  <si>
    <t>Neeraja M.</t>
  </si>
  <si>
    <t>Componant</t>
  </si>
  <si>
    <t>Last Review By: Nigel</t>
  </si>
  <si>
    <t>When all mandatory fields are marked with *</t>
  </si>
  <si>
    <t>First Name &amp; Country are not marked as mandatory this could lead to Data inconsistancy in the future.</t>
  </si>
  <si>
    <t>Fail</t>
  </si>
  <si>
    <t>Pass</t>
  </si>
  <si>
    <t>Evidence</t>
  </si>
  <si>
    <t>D001</t>
  </si>
  <si>
    <t>Sign Up</t>
  </si>
  <si>
    <t>When User is Unable to register entering invalid data on all required fields</t>
  </si>
  <si>
    <t>Only 2 out of 4 required fields are validated</t>
  </si>
  <si>
    <t>1.Open  URL:https://qa-practice.netlify.app/bugs-form
2.Enter only  Password &amp;Phone number 
3.Click on Register 
Actual : 
User is successfully registered.
Expected: 
User is Unable to register.</t>
  </si>
  <si>
    <t xml:space="preserve">This could lead to Data &amp; Security issues </t>
  </si>
  <si>
    <t>Run defect triage session with the Team.</t>
  </si>
  <si>
    <t xml:space="preserve">When User is unable to register without entering all required fields </t>
  </si>
  <si>
    <t>D002</t>
  </si>
  <si>
    <t>User is able to register with invalid data on required fields.</t>
  </si>
  <si>
    <t>1.Open  URL:https://qa-practice.netlify.app/bugs-form
2.Enter Blank spaces on Phone number &amp; Password fields.
3.Click on Register 
Actual : 
User is successfully registered.
Expected: 
User is Unable to register.</t>
  </si>
  <si>
    <t>When User is Unable to register entering valid data on all required fields except 'First Name'</t>
  </si>
  <si>
    <t>When User is Unable to register entering valid data on all required fields except 'Last Name'</t>
  </si>
  <si>
    <t>When User is Unable to register entering valid data on all required fields except 'Phone Number'</t>
  </si>
  <si>
    <t>When User is Unable to register entering valid data on all required fields except 'Country'</t>
  </si>
  <si>
    <t>When User is Unable to register entering valid data on all required fields except 'Email address'</t>
  </si>
  <si>
    <t>When User is Unable to register entering valid data on all required fields except 'Password'</t>
  </si>
  <si>
    <t xml:space="preserve">When user is unable to enter special characters on form fields </t>
  </si>
  <si>
    <t xml:space="preserve">When user is unable to execute HTML or Javascript on form fields </t>
  </si>
  <si>
    <t xml:space="preserve">Responsive </t>
  </si>
  <si>
    <t>When User is Unable to register without accecpting terms and conditions</t>
  </si>
  <si>
    <t xml:space="preserve">When User is Able to register entering valid data on all fields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</si>
</sst>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sz val="8"/>
      <name val="Arial"/>
    </font>
    <font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4"/>
      <color rgb="FF000000"/>
      <name val="Arial"/>
      <family val="2"/>
    </font>
    <font>
      <b/>
      <sz val="14"/>
      <name val="Arial"/>
      <family val="2"/>
    </font>
    <font>
      <b/>
      <sz val="14"/>
      <color rgb="FF000000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0" borderId="0" xfId="0" applyFont="1" applyAlignment="1">
      <alignment horizontal="right"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2" fillId="7" borderId="0" xfId="0" applyFont="1" applyFill="1" applyAlignment="1">
      <alignment wrapText="1"/>
    </xf>
    <xf numFmtId="0" fontId="3" fillId="8" borderId="0" xfId="0" applyFont="1" applyFill="1" applyAlignment="1">
      <alignment horizontal="center" wrapText="1"/>
    </xf>
    <xf numFmtId="0" fontId="3" fillId="9" borderId="0" xfId="0" applyFont="1" applyFill="1" applyAlignment="1">
      <alignment wrapText="1"/>
    </xf>
    <xf numFmtId="0" fontId="1" fillId="5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8" fillId="0" borderId="1" xfId="0" applyFont="1" applyBorder="1" applyAlignment="1">
      <alignment wrapText="1"/>
    </xf>
    <xf numFmtId="0" fontId="9" fillId="1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1" fillId="8" borderId="1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8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wrapText="1"/>
    </xf>
    <xf numFmtId="0" fontId="0" fillId="0" borderId="0" xfId="0"/>
    <xf numFmtId="0" fontId="2" fillId="6" borderId="0" xfId="0" applyFont="1" applyFill="1" applyAlignment="1">
      <alignment horizontal="center" wrapText="1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139243</xdr:colOff>
      <xdr:row>1</xdr:row>
      <xdr:rowOff>342899</xdr:rowOff>
    </xdr:from>
    <xdr:to>
      <xdr:col>9</xdr:col>
      <xdr:colOff>3938123</xdr:colOff>
      <xdr:row>1</xdr:row>
      <xdr:rowOff>3514724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A1CD658-2C98-696A-F854-A9157AB216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60843" y="542924"/>
          <a:ext cx="3798880" cy="3171825"/>
        </a:xfrm>
        <a:prstGeom prst="rect">
          <a:avLst/>
        </a:prstGeom>
      </xdr:spPr>
    </xdr:pic>
    <xdr:clientData/>
  </xdr:twoCellAnchor>
  <xdr:twoCellAnchor editAs="oneCell">
    <xdr:from>
      <xdr:col>9</xdr:col>
      <xdr:colOff>95250</xdr:colOff>
      <xdr:row>2</xdr:row>
      <xdr:rowOff>133350</xdr:rowOff>
    </xdr:from>
    <xdr:to>
      <xdr:col>9</xdr:col>
      <xdr:colOff>3894130</xdr:colOff>
      <xdr:row>2</xdr:row>
      <xdr:rowOff>3305175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522EF2E-87F4-4DFF-AF39-237D6CB09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16850" y="4000500"/>
          <a:ext cx="3798880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2"/>
  <sheetViews>
    <sheetView zoomScale="85" zoomScaleNormal="85" workbookViewId="0">
      <selection activeCell="I20" sqref="I20"/>
    </sheetView>
  </sheetViews>
  <sheetFormatPr defaultColWidth="14.42578125" defaultRowHeight="15.75" customHeight="1" x14ac:dyDescent="0.2"/>
  <cols>
    <col min="1" max="1" width="33.42578125" customWidth="1"/>
    <col min="2" max="2" width="38.28515625" customWidth="1"/>
    <col min="3" max="3" width="42.42578125" customWidth="1"/>
    <col min="8" max="9" width="25.85546875" bestFit="1" customWidth="1"/>
  </cols>
  <sheetData>
    <row r="1" spans="1:12" ht="15.75" customHeight="1" x14ac:dyDescent="0.2">
      <c r="A1" s="1" t="s">
        <v>0</v>
      </c>
      <c r="B1" s="1" t="s">
        <v>47</v>
      </c>
      <c r="D1" s="1" t="s">
        <v>1</v>
      </c>
      <c r="E1" s="29">
        <v>45513</v>
      </c>
      <c r="H1" s="28" t="s">
        <v>49</v>
      </c>
      <c r="I1" s="2" t="s">
        <v>44</v>
      </c>
    </row>
    <row r="2" spans="1:12" ht="15.75" customHeight="1" x14ac:dyDescent="0.2">
      <c r="A2" s="1"/>
      <c r="B2" s="1"/>
      <c r="D2" s="1"/>
    </row>
    <row r="3" spans="1:12" ht="15.75" customHeight="1" x14ac:dyDescent="0.2">
      <c r="A3" s="2" t="s">
        <v>2</v>
      </c>
      <c r="B3" s="3">
        <f>COUNTIF(Scenarios!$F$2:$F$1000,"FAIL")</f>
        <v>5</v>
      </c>
      <c r="C3" s="4" t="s">
        <v>3</v>
      </c>
      <c r="D3" s="2">
        <f>COUNTIF(Defects!E2:E603,"Open")</f>
        <v>2</v>
      </c>
      <c r="E3" s="4" t="s">
        <v>4</v>
      </c>
      <c r="F3" s="2">
        <f>COUNTIF(Scenarios!$E$2:$E$9,E3)</f>
        <v>0</v>
      </c>
      <c r="G3" s="2"/>
      <c r="H3" s="2"/>
      <c r="I3" s="2"/>
      <c r="J3" s="2"/>
      <c r="K3" s="2"/>
      <c r="L3" s="2"/>
    </row>
    <row r="4" spans="1:12" ht="15.75" customHeight="1" x14ac:dyDescent="0.2">
      <c r="A4" s="2" t="s">
        <v>5</v>
      </c>
      <c r="B4" s="5">
        <f>COUNTIF(Scenarios!$F$2:$F$1000,"PASS")</f>
        <v>1</v>
      </c>
      <c r="C4" s="4" t="s">
        <v>6</v>
      </c>
      <c r="D4" s="2">
        <f>COUNTIF(Defects!E2:E603,"Close")</f>
        <v>0</v>
      </c>
      <c r="E4" s="4" t="s">
        <v>7</v>
      </c>
      <c r="F4" s="2">
        <f>COUNTIF(Scenarios!$E$2:$E$9,E4)</f>
        <v>0</v>
      </c>
      <c r="G4" s="2"/>
      <c r="H4" s="2"/>
      <c r="I4" s="2"/>
      <c r="J4" s="2"/>
      <c r="K4" s="2"/>
      <c r="L4" s="2"/>
    </row>
    <row r="5" spans="1:12" ht="15.75" customHeight="1" x14ac:dyDescent="0.2">
      <c r="A5" s="2" t="s">
        <v>8</v>
      </c>
      <c r="B5" s="6">
        <f>COUNTIF(Scenarios!$F$2:$F$1000,"NOT RUN")</f>
        <v>20</v>
      </c>
      <c r="C5" s="4" t="s">
        <v>9</v>
      </c>
      <c r="D5" s="2">
        <f>SUM(D3:D4)</f>
        <v>2</v>
      </c>
      <c r="E5" s="4" t="s">
        <v>10</v>
      </c>
      <c r="F5" s="2">
        <f>SUM(F3:F4)</f>
        <v>0</v>
      </c>
      <c r="G5" s="2"/>
      <c r="H5" s="2"/>
      <c r="I5" s="2"/>
      <c r="J5" s="2"/>
      <c r="K5" s="2"/>
      <c r="L5" s="2"/>
    </row>
    <row r="6" spans="1:12" ht="15.75" customHeight="1" x14ac:dyDescent="0.2">
      <c r="A6" s="2" t="s">
        <v>11</v>
      </c>
      <c r="B6" s="7">
        <f>COUNTIF(Scenarios!$F$2:$F$1000,"BLOCK")</f>
        <v>0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2" t="s">
        <v>12</v>
      </c>
      <c r="B7" s="2">
        <f>COUNTIF(Scenarios!$F$2:$F$1000,"NA")</f>
        <v>0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.75" customHeight="1" x14ac:dyDescent="0.2">
      <c r="A8" s="8" t="s">
        <v>9</v>
      </c>
      <c r="B8" s="9">
        <f>SUM(B3:B7)</f>
        <v>26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 ht="15.75" customHeight="1" x14ac:dyDescent="0.2">
      <c r="A9" s="30" t="s">
        <v>13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</row>
    <row r="10" spans="1:12" ht="15.75" customHeight="1" x14ac:dyDescent="0.2">
      <c r="A10" s="32" t="s">
        <v>14</v>
      </c>
      <c r="B10" s="31"/>
      <c r="C10" s="31"/>
      <c r="D10" s="32" t="s">
        <v>15</v>
      </c>
      <c r="E10" s="31"/>
      <c r="F10" s="31"/>
      <c r="G10" s="31"/>
      <c r="H10" s="31"/>
      <c r="I10" s="31"/>
      <c r="J10" s="32" t="s">
        <v>16</v>
      </c>
      <c r="K10" s="31"/>
      <c r="L10" s="31"/>
    </row>
    <row r="11" spans="1:12" ht="25.5" x14ac:dyDescent="0.2">
      <c r="A11" s="10" t="s">
        <v>17</v>
      </c>
      <c r="B11" s="10" t="s">
        <v>18</v>
      </c>
      <c r="C11" s="10" t="s">
        <v>48</v>
      </c>
      <c r="D11" s="11" t="s">
        <v>19</v>
      </c>
      <c r="E11" s="11" t="s">
        <v>20</v>
      </c>
      <c r="F11" s="26" t="s">
        <v>21</v>
      </c>
      <c r="G11" s="26" t="s">
        <v>22</v>
      </c>
      <c r="H11" s="26" t="s">
        <v>74</v>
      </c>
      <c r="I11" s="26" t="s">
        <v>45</v>
      </c>
      <c r="J11" s="12" t="s">
        <v>23</v>
      </c>
      <c r="K11" s="12" t="s">
        <v>24</v>
      </c>
      <c r="L11" s="12" t="s">
        <v>25</v>
      </c>
    </row>
    <row r="12" spans="1:12" ht="15.75" customHeight="1" x14ac:dyDescent="0.2">
      <c r="A12" s="2" t="s">
        <v>41</v>
      </c>
      <c r="B12" s="1" t="s">
        <v>42</v>
      </c>
      <c r="C12" s="1" t="s">
        <v>42</v>
      </c>
      <c r="D12" s="13">
        <f>COUNTIFS(Scenarios!$C$2:$C$1250,CONCATENATE($C12," IS ",D$11))</f>
        <v>2</v>
      </c>
      <c r="E12" s="13">
        <f>COUNTIFS(Scenarios!$C$2:$C$1250,CONCATENATE($C12," IS ",E$11))</f>
        <v>11</v>
      </c>
      <c r="F12" s="13">
        <f>COUNTIFS(Scenarios!$C$2:$C$1250,CONCATENATE($C12," IS ",F$11))</f>
        <v>2</v>
      </c>
      <c r="G12" s="13">
        <f>COUNTIFS(Scenarios!$C$2:$C$1250,CONCATENATE($C12," IS ",G$11))</f>
        <v>4</v>
      </c>
      <c r="H12" s="13">
        <f>COUNTIFS(Scenarios!$C$2:$C$1250,CONCATENATE($C12," IS ",H$11))</f>
        <v>3</v>
      </c>
      <c r="I12" s="13">
        <f>COUNTIFS(Scenarios!$C$2:$C$1250,CONCATENATE($C12," IS ",I$11))</f>
        <v>4</v>
      </c>
      <c r="J12" s="2"/>
      <c r="K12" s="2"/>
      <c r="L12" s="2" t="s">
        <v>26</v>
      </c>
    </row>
  </sheetData>
  <mergeCells count="4">
    <mergeCell ref="A9:L9"/>
    <mergeCell ref="A10:C10"/>
    <mergeCell ref="D10:I10"/>
    <mergeCell ref="J10:L10"/>
  </mergeCells>
  <phoneticPr fontId="4" type="noConversion"/>
  <conditionalFormatting sqref="C20">
    <cfRule type="notContainsBlanks" dxfId="6" priority="7">
      <formula>LEN(TRIM(C20))&gt;0</formula>
    </cfRule>
  </conditionalFormatting>
  <conditionalFormatting sqref="D12:I12">
    <cfRule type="expression" dxfId="5" priority="1">
      <formula>COUNTIFS(INDIRECT("Scenarios!$C$2:$C$1420"),CONCATENATE($C12," IS ",D$11),INDIRECT("Scenarios!$F$2:$F$1420"),"FAIL")&gt;=1</formula>
    </cfRule>
    <cfRule type="expression" dxfId="4" priority="2">
      <formula>COUNTIFS(INDIRECT("Scenarios!$C$2:$C$1420"),CONCATENATE($C12," IS ",D$11),INDIRECT("Scenarios!$F$2:$F$1420"),"BLOCK")&gt;=1</formula>
    </cfRule>
    <cfRule type="expression" dxfId="3" priority="3">
      <formula>COUNTIFS(INDIRECT("Scenarios!$C$2:$C$1420"),CONCATENATE($C12," IS ",D$11),INDIRECT("Scenarios!$F$2:$F$1420"),"NOT RUN")&gt;=1</formula>
    </cfRule>
    <cfRule type="expression" dxfId="2" priority="4">
      <formula>COUNTIFS(INDIRECT("Scenarios!$C$2:$C$1420"),CONCATENATE($C12," IS ",D$11),INDIRECT("Scenarios!$F$2:$F$1420"),"PASS")&gt;=1</formula>
    </cfRule>
    <cfRule type="notContainsBlanks" dxfId="1" priority="5">
      <formula>LEN(TRIM(D12))&gt;0</formula>
    </cfRule>
  </conditionalFormatting>
  <conditionalFormatting sqref="E16">
    <cfRule type="notContainsBlanks" dxfId="0" priority="6">
      <formula>LEN(TRIM(E16))&gt;0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37"/>
  <sheetViews>
    <sheetView topLeftCell="E31" workbookViewId="0">
      <selection activeCell="D12" sqref="D12"/>
    </sheetView>
  </sheetViews>
  <sheetFormatPr defaultColWidth="14.42578125" defaultRowHeight="15.75" customHeight="1" x14ac:dyDescent="0.2"/>
  <cols>
    <col min="1" max="1" width="34.42578125" style="15" customWidth="1"/>
    <col min="2" max="2" width="22.85546875" style="15" bestFit="1" customWidth="1"/>
    <col min="3" max="3" width="33.5703125" style="15" customWidth="1"/>
    <col min="4" max="4" width="134.5703125" style="15" customWidth="1"/>
    <col min="5" max="6" width="14.42578125" style="15"/>
    <col min="7" max="7" width="111.85546875" style="15" bestFit="1" customWidth="1"/>
    <col min="8" max="16384" width="14.42578125" style="15"/>
  </cols>
  <sheetData>
    <row r="1" spans="1:8" s="24" customFormat="1" ht="15.75" customHeight="1" x14ac:dyDescent="0.25">
      <c r="A1" s="22" t="s">
        <v>27</v>
      </c>
      <c r="B1" s="23" t="s">
        <v>28</v>
      </c>
      <c r="C1" s="23" t="s">
        <v>29</v>
      </c>
      <c r="D1" s="23" t="s">
        <v>30</v>
      </c>
      <c r="E1" s="23" t="s">
        <v>31</v>
      </c>
      <c r="F1" s="23" t="s">
        <v>25</v>
      </c>
      <c r="G1" s="23" t="s">
        <v>24</v>
      </c>
      <c r="H1" s="24" t="s">
        <v>46</v>
      </c>
    </row>
    <row r="2" spans="1:8" ht="15.75" customHeight="1" x14ac:dyDescent="0.2">
      <c r="A2" s="15" t="str">
        <f>Summary!$C$12</f>
        <v>User Signup</v>
      </c>
      <c r="B2" s="15" t="str">
        <f>Summary!$E$11</f>
        <v>Compliance</v>
      </c>
      <c r="C2" s="15" t="str">
        <f t="shared" ref="C2:C14" si="0">CONCATENATE(A2," Is ",B2)</f>
        <v>User Signup Is Compliance</v>
      </c>
      <c r="D2" s="14" t="s">
        <v>50</v>
      </c>
      <c r="F2" s="27" t="s">
        <v>53</v>
      </c>
      <c r="G2" s="14" t="s">
        <v>51</v>
      </c>
    </row>
    <row r="3" spans="1:8" ht="15.75" customHeight="1" x14ac:dyDescent="0.2">
      <c r="A3" s="15" t="str">
        <f>Summary!$C$12</f>
        <v>User Signup</v>
      </c>
      <c r="B3" s="15" t="str">
        <f>Summary!$E$11</f>
        <v>Compliance</v>
      </c>
      <c r="C3" s="15" t="str">
        <f t="shared" si="0"/>
        <v>User Signup Is Compliance</v>
      </c>
      <c r="D3" s="14" t="s">
        <v>62</v>
      </c>
      <c r="F3" s="27" t="s">
        <v>52</v>
      </c>
      <c r="G3" s="14" t="s">
        <v>58</v>
      </c>
      <c r="H3" s="15" t="s">
        <v>55</v>
      </c>
    </row>
    <row r="4" spans="1:8" ht="15.75" customHeight="1" x14ac:dyDescent="0.2">
      <c r="A4" s="15" t="str">
        <f>Summary!$C$12</f>
        <v>User Signup</v>
      </c>
      <c r="B4" s="15" t="str">
        <f>Summary!$E$11</f>
        <v>Compliance</v>
      </c>
      <c r="C4" s="15" t="str">
        <f t="shared" si="0"/>
        <v>User Signup Is Compliance</v>
      </c>
      <c r="D4" s="14" t="s">
        <v>57</v>
      </c>
      <c r="F4" s="27" t="s">
        <v>52</v>
      </c>
      <c r="G4" s="14" t="s">
        <v>64</v>
      </c>
      <c r="H4" s="15" t="s">
        <v>63</v>
      </c>
    </row>
    <row r="5" spans="1:8" ht="15.75" customHeight="1" x14ac:dyDescent="0.2">
      <c r="A5" s="15" t="str">
        <f>Summary!$C$12</f>
        <v>User Signup</v>
      </c>
      <c r="B5" s="15" t="str">
        <f>Summary!$E$11</f>
        <v>Compliance</v>
      </c>
      <c r="C5" s="15" t="str">
        <f t="shared" si="0"/>
        <v>User Signup Is Compliance</v>
      </c>
      <c r="D5" s="14" t="s">
        <v>66</v>
      </c>
      <c r="F5" s="27" t="s">
        <v>8</v>
      </c>
      <c r="G5" s="14"/>
    </row>
    <row r="6" spans="1:8" ht="15.75" customHeight="1" x14ac:dyDescent="0.2">
      <c r="A6" s="15" t="str">
        <f>Summary!$C$12</f>
        <v>User Signup</v>
      </c>
      <c r="B6" s="15" t="str">
        <f>Summary!$E$11</f>
        <v>Compliance</v>
      </c>
      <c r="C6" s="15" t="str">
        <f t="shared" si="0"/>
        <v>User Signup Is Compliance</v>
      </c>
      <c r="D6" s="14" t="s">
        <v>67</v>
      </c>
      <c r="F6" s="27" t="s">
        <v>8</v>
      </c>
      <c r="G6" s="14"/>
    </row>
    <row r="7" spans="1:8" ht="15.75" customHeight="1" x14ac:dyDescent="0.2">
      <c r="A7" s="15" t="str">
        <f>Summary!$C$12</f>
        <v>User Signup</v>
      </c>
      <c r="B7" s="15" t="str">
        <f>Summary!$E$11</f>
        <v>Compliance</v>
      </c>
      <c r="C7" s="15" t="str">
        <f t="shared" si="0"/>
        <v>User Signup Is Compliance</v>
      </c>
      <c r="D7" s="14" t="s">
        <v>68</v>
      </c>
      <c r="F7" s="27" t="s">
        <v>8</v>
      </c>
      <c r="G7" s="14"/>
    </row>
    <row r="8" spans="1:8" ht="15.75" customHeight="1" x14ac:dyDescent="0.2">
      <c r="A8" s="15" t="str">
        <f>Summary!$C$12</f>
        <v>User Signup</v>
      </c>
      <c r="B8" s="15" t="str">
        <f>Summary!$E$11</f>
        <v>Compliance</v>
      </c>
      <c r="C8" s="15" t="str">
        <f t="shared" si="0"/>
        <v>User Signup Is Compliance</v>
      </c>
      <c r="D8" s="14" t="s">
        <v>69</v>
      </c>
      <c r="F8" s="27" t="s">
        <v>8</v>
      </c>
      <c r="G8" s="14"/>
    </row>
    <row r="9" spans="1:8" ht="15.75" customHeight="1" x14ac:dyDescent="0.2">
      <c r="A9" s="15" t="str">
        <f>Summary!$C$12</f>
        <v>User Signup</v>
      </c>
      <c r="B9" s="15" t="str">
        <f>Summary!$E$11</f>
        <v>Compliance</v>
      </c>
      <c r="C9" s="15" t="str">
        <f t="shared" si="0"/>
        <v>User Signup Is Compliance</v>
      </c>
      <c r="D9" s="14" t="s">
        <v>70</v>
      </c>
      <c r="F9" s="27" t="s">
        <v>8</v>
      </c>
      <c r="G9" s="14"/>
    </row>
    <row r="10" spans="1:8" ht="12.75" x14ac:dyDescent="0.2">
      <c r="A10" s="15" t="str">
        <f>Summary!$C$12</f>
        <v>User Signup</v>
      </c>
      <c r="B10" s="15" t="str">
        <f>Summary!$E$11</f>
        <v>Compliance</v>
      </c>
      <c r="C10" s="15" t="str">
        <f t="shared" si="0"/>
        <v>User Signup Is Compliance</v>
      </c>
      <c r="D10" s="14" t="s">
        <v>71</v>
      </c>
      <c r="F10" s="27" t="s">
        <v>8</v>
      </c>
      <c r="G10" s="14"/>
    </row>
    <row r="11" spans="1:8" ht="12.75" x14ac:dyDescent="0.2">
      <c r="A11" s="15" t="str">
        <f>Summary!$C$12</f>
        <v>User Signup</v>
      </c>
      <c r="B11" s="15" t="str">
        <f>Summary!$E$11</f>
        <v>Compliance</v>
      </c>
      <c r="C11" s="15" t="str">
        <f t="shared" ref="C11" si="1">CONCATENATE(A11," Is ",B11)</f>
        <v>User Signup Is Compliance</v>
      </c>
      <c r="D11" s="14" t="s">
        <v>75</v>
      </c>
      <c r="F11" s="27" t="s">
        <v>52</v>
      </c>
      <c r="G11" s="14"/>
    </row>
    <row r="12" spans="1:8" ht="12.75" x14ac:dyDescent="0.2">
      <c r="A12" s="15" t="str">
        <f>Summary!$C$12</f>
        <v>User Signup</v>
      </c>
      <c r="B12" s="15" t="str">
        <f>Summary!$E$11</f>
        <v>Compliance</v>
      </c>
      <c r="C12" s="15" t="str">
        <f t="shared" si="0"/>
        <v>User Signup Is Compliance</v>
      </c>
      <c r="D12" s="15" t="s">
        <v>76</v>
      </c>
      <c r="F12" s="27" t="s">
        <v>8</v>
      </c>
      <c r="G12" s="14"/>
    </row>
    <row r="13" spans="1:8" ht="15.75" customHeight="1" x14ac:dyDescent="0.2">
      <c r="A13" s="15" t="str">
        <f>Summary!$C$12</f>
        <v>User Signup</v>
      </c>
      <c r="B13" s="15" t="str">
        <f>Summary!$D$11</f>
        <v>Secure</v>
      </c>
      <c r="C13" s="15" t="str">
        <f t="shared" si="0"/>
        <v>User Signup Is Secure</v>
      </c>
      <c r="D13" s="15" t="s">
        <v>73</v>
      </c>
      <c r="F13" s="27" t="s">
        <v>52</v>
      </c>
    </row>
    <row r="14" spans="1:8" ht="15.75" customHeight="1" x14ac:dyDescent="0.2">
      <c r="A14" s="15" t="str">
        <f>Summary!$C$12</f>
        <v>User Signup</v>
      </c>
      <c r="B14" s="15" t="str">
        <f>Summary!$D$11</f>
        <v>Secure</v>
      </c>
      <c r="C14" s="15" t="str">
        <f t="shared" si="0"/>
        <v>User Signup Is Secure</v>
      </c>
      <c r="D14" s="15" t="s">
        <v>72</v>
      </c>
      <c r="F14" s="27" t="s">
        <v>52</v>
      </c>
    </row>
    <row r="15" spans="1:8" ht="12.75" x14ac:dyDescent="0.2">
      <c r="A15" s="15" t="str">
        <f>Summary!$C$12</f>
        <v>User Signup</v>
      </c>
      <c r="B15" s="15" t="str">
        <f>Summary!$F$11</f>
        <v>Auditable</v>
      </c>
      <c r="C15" s="15" t="str">
        <f t="shared" ref="C15" si="2">CONCATENATE(A15," Is ",B15)</f>
        <v>User Signup Is Auditable</v>
      </c>
      <c r="F15" s="27" t="s">
        <v>8</v>
      </c>
      <c r="G15" s="14"/>
    </row>
    <row r="16" spans="1:8" ht="15.75" customHeight="1" x14ac:dyDescent="0.2">
      <c r="A16" s="15" t="str">
        <f>Summary!$C$12</f>
        <v>User Signup</v>
      </c>
      <c r="B16" s="15" t="str">
        <f>Summary!$F$11</f>
        <v>Auditable</v>
      </c>
      <c r="C16" s="15" t="str">
        <f t="shared" ref="C16:C27" si="3">CONCATENATE(A16," Is ",B16)</f>
        <v>User Signup Is Auditable</v>
      </c>
      <c r="F16" s="27" t="s">
        <v>8</v>
      </c>
      <c r="G16" s="14"/>
    </row>
    <row r="17" spans="1:7" ht="15.75" customHeight="1" x14ac:dyDescent="0.2">
      <c r="A17" s="15" t="str">
        <f>Summary!$C$12</f>
        <v>User Signup</v>
      </c>
      <c r="B17" s="15" t="str">
        <f>Summary!$G$11</f>
        <v xml:space="preserve">Accessible </v>
      </c>
      <c r="C17" s="15" t="str">
        <f>CONCATENATE(A17," Is ",B17)</f>
        <v xml:space="preserve">User Signup Is Accessible </v>
      </c>
      <c r="F17" s="27" t="s">
        <v>8</v>
      </c>
    </row>
    <row r="18" spans="1:7" ht="15.75" customHeight="1" x14ac:dyDescent="0.2">
      <c r="A18" s="15" t="str">
        <f>Summary!$C$12</f>
        <v>User Signup</v>
      </c>
      <c r="B18" s="15" t="str">
        <f>Summary!$G$11</f>
        <v xml:space="preserve">Accessible </v>
      </c>
      <c r="C18" s="15" t="str">
        <f t="shared" si="3"/>
        <v xml:space="preserve">User Signup Is Accessible </v>
      </c>
      <c r="F18" s="27" t="s">
        <v>8</v>
      </c>
    </row>
    <row r="19" spans="1:7" ht="36.75" customHeight="1" x14ac:dyDescent="0.2">
      <c r="A19" s="15" t="str">
        <f>Summary!$C$12</f>
        <v>User Signup</v>
      </c>
      <c r="B19" s="15" t="str">
        <f>Summary!$G$11</f>
        <v xml:space="preserve">Accessible </v>
      </c>
      <c r="C19" s="15" t="str">
        <f t="shared" si="3"/>
        <v xml:space="preserve">User Signup Is Accessible </v>
      </c>
      <c r="F19" s="27" t="s">
        <v>8</v>
      </c>
    </row>
    <row r="20" spans="1:7" ht="15.75" customHeight="1" x14ac:dyDescent="0.2">
      <c r="A20" s="15" t="str">
        <f>Summary!$C$12</f>
        <v>User Signup</v>
      </c>
      <c r="B20" s="15" t="str">
        <f>Summary!$G$11</f>
        <v xml:space="preserve">Accessible </v>
      </c>
      <c r="C20" s="15" t="str">
        <f t="shared" si="3"/>
        <v xml:space="preserve">User Signup Is Accessible </v>
      </c>
      <c r="F20" s="27" t="s">
        <v>8</v>
      </c>
    </row>
    <row r="21" spans="1:7" ht="15.75" customHeight="1" x14ac:dyDescent="0.2">
      <c r="A21" s="15" t="str">
        <f>Summary!$C$12</f>
        <v>User Signup</v>
      </c>
      <c r="B21" s="15" t="str">
        <f>Summary!$H$11</f>
        <v xml:space="preserve">Responsive </v>
      </c>
      <c r="C21" s="15" t="str">
        <f t="shared" si="3"/>
        <v xml:space="preserve">User Signup Is Responsive </v>
      </c>
      <c r="F21" s="27" t="s">
        <v>8</v>
      </c>
    </row>
    <row r="22" spans="1:7" ht="15.75" customHeight="1" x14ac:dyDescent="0.2">
      <c r="A22" s="15" t="str">
        <f>Summary!$C$12</f>
        <v>User Signup</v>
      </c>
      <c r="B22" s="15" t="str">
        <f>Summary!$H$11</f>
        <v xml:space="preserve">Responsive </v>
      </c>
      <c r="C22" s="15" t="str">
        <f t="shared" ref="C22" si="4">CONCATENATE(A22," Is ",B22)</f>
        <v xml:space="preserve">User Signup Is Responsive </v>
      </c>
      <c r="F22" s="27" t="s">
        <v>8</v>
      </c>
      <c r="G22" s="14"/>
    </row>
    <row r="23" spans="1:7" ht="15.75" customHeight="1" x14ac:dyDescent="0.2">
      <c r="A23" s="15" t="str">
        <f>Summary!$C$12</f>
        <v>User Signup</v>
      </c>
      <c r="B23" s="15" t="str">
        <f>Summary!$H$11</f>
        <v xml:space="preserve">Responsive </v>
      </c>
      <c r="C23" s="15" t="str">
        <f t="shared" si="3"/>
        <v xml:space="preserve">User Signup Is Responsive </v>
      </c>
      <c r="F23" s="27" t="s">
        <v>8</v>
      </c>
      <c r="G23" s="14"/>
    </row>
    <row r="24" spans="1:7" ht="15.75" customHeight="1" x14ac:dyDescent="0.2">
      <c r="A24" s="15" t="str">
        <f>Summary!$C$12</f>
        <v>User Signup</v>
      </c>
      <c r="B24" s="15" t="str">
        <f>Summary!$I$11</f>
        <v>Fast (Performance Testing)</v>
      </c>
      <c r="C24" s="15" t="str">
        <f t="shared" si="3"/>
        <v>User Signup Is Fast (Performance Testing)</v>
      </c>
      <c r="D24" s="14"/>
      <c r="F24" s="27" t="s">
        <v>8</v>
      </c>
    </row>
    <row r="25" spans="1:7" ht="40.5" customHeight="1" x14ac:dyDescent="0.2">
      <c r="A25" s="15" t="str">
        <f>Summary!$C$12</f>
        <v>User Signup</v>
      </c>
      <c r="B25" s="15" t="str">
        <f>Summary!$I$11</f>
        <v>Fast (Performance Testing)</v>
      </c>
      <c r="C25" s="15" t="str">
        <f t="shared" si="3"/>
        <v>User Signup Is Fast (Performance Testing)</v>
      </c>
      <c r="D25" s="14"/>
      <c r="F25" s="27" t="s">
        <v>8</v>
      </c>
    </row>
    <row r="26" spans="1:7" ht="71.25" customHeight="1" x14ac:dyDescent="0.2">
      <c r="A26" s="15" t="str">
        <f>Summary!$C$12</f>
        <v>User Signup</v>
      </c>
      <c r="B26" s="15" t="str">
        <f>Summary!$I$11</f>
        <v>Fast (Performance Testing)</v>
      </c>
      <c r="C26" s="15" t="str">
        <f t="shared" si="3"/>
        <v>User Signup Is Fast (Performance Testing)</v>
      </c>
      <c r="D26" s="14"/>
      <c r="F26" s="27" t="s">
        <v>8</v>
      </c>
    </row>
    <row r="27" spans="1:7" ht="75.75" customHeight="1" x14ac:dyDescent="0.2">
      <c r="A27" s="15" t="str">
        <f>Summary!$C$12</f>
        <v>User Signup</v>
      </c>
      <c r="B27" s="15" t="str">
        <f>Summary!$I$11</f>
        <v>Fast (Performance Testing)</v>
      </c>
      <c r="C27" s="15" t="str">
        <f t="shared" si="3"/>
        <v>User Signup Is Fast (Performance Testing)</v>
      </c>
      <c r="D27" s="14"/>
      <c r="F27" s="27" t="s">
        <v>8</v>
      </c>
    </row>
    <row r="28" spans="1:7" ht="12" x14ac:dyDescent="0.2">
      <c r="A28" s="14"/>
      <c r="D28" s="14"/>
      <c r="F28" s="14"/>
    </row>
    <row r="29" spans="1:7" ht="12" x14ac:dyDescent="0.2">
      <c r="A29" s="14"/>
      <c r="D29" s="14"/>
      <c r="F29" s="14"/>
    </row>
    <row r="30" spans="1:7" ht="12" x14ac:dyDescent="0.2">
      <c r="A30" s="14"/>
      <c r="B30" s="14"/>
      <c r="D30" s="14"/>
      <c r="F30" s="14"/>
    </row>
    <row r="31" spans="1:7" ht="12" x14ac:dyDescent="0.2">
      <c r="A31" s="14"/>
      <c r="D31" s="14"/>
      <c r="F31" s="14"/>
    </row>
    <row r="32" spans="1:7" ht="12" x14ac:dyDescent="0.2">
      <c r="A32" s="14"/>
      <c r="D32" s="14"/>
      <c r="F32" s="14"/>
    </row>
    <row r="33" spans="1:6" ht="12" x14ac:dyDescent="0.2">
      <c r="A33" s="14"/>
      <c r="D33" s="14"/>
      <c r="F33" s="14"/>
    </row>
    <row r="34" spans="1:6" ht="12" x14ac:dyDescent="0.2">
      <c r="A34" s="14"/>
      <c r="D34" s="14"/>
      <c r="F34" s="14"/>
    </row>
    <row r="35" spans="1:6" ht="12" x14ac:dyDescent="0.2">
      <c r="A35" s="14"/>
      <c r="D35" s="14"/>
      <c r="F35" s="14"/>
    </row>
    <row r="36" spans="1:6" ht="12" x14ac:dyDescent="0.2">
      <c r="A36" s="14"/>
      <c r="D36" s="14"/>
      <c r="F36" s="14"/>
    </row>
    <row r="37" spans="1:6" ht="12" x14ac:dyDescent="0.2">
      <c r="A37" s="14"/>
      <c r="D37" s="14"/>
      <c r="F37" s="14"/>
    </row>
  </sheetData>
  <customSheetViews>
    <customSheetView guid="{30C045F4-8E84-465C-9537-36842D8391D0}" filter="1" showAutoFilter="1">
      <pageMargins left="0.7" right="0.7" top="0.75" bottom="0.75" header="0.3" footer="0.3"/>
      <autoFilter ref="A1:G9" xr:uid="{604DE440-50C5-4CCC-889F-46C9A445464C}">
        <filterColumn colId="2">
          <filters>
            <filter val="Registration Is Compliance"/>
            <filter val="Registration Is Auditable"/>
          </filters>
        </filterColumn>
      </autoFilter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6"/>
  <sheetViews>
    <sheetView tabSelected="1" topLeftCell="E1" workbookViewId="0">
      <selection activeCell="H3" sqref="H3"/>
    </sheetView>
  </sheetViews>
  <sheetFormatPr defaultColWidth="14.42578125" defaultRowHeight="15.75" customHeight="1" x14ac:dyDescent="0.2"/>
  <cols>
    <col min="1" max="1" width="14.42578125" style="16"/>
    <col min="2" max="2" width="20.140625" style="16" customWidth="1"/>
    <col min="3" max="3" width="45.85546875" style="16" customWidth="1"/>
    <col min="4" max="4" width="53.5703125" style="16" customWidth="1"/>
    <col min="5" max="7" width="14.42578125" style="16"/>
    <col min="8" max="8" width="51.5703125" style="16" customWidth="1"/>
    <col min="9" max="9" width="77.42578125" style="16" customWidth="1"/>
    <col min="10" max="10" width="61.28515625" style="16" customWidth="1"/>
    <col min="11" max="16384" width="14.42578125" style="16"/>
  </cols>
  <sheetData>
    <row r="1" spans="1:10" s="21" customFormat="1" ht="15.75" customHeight="1" x14ac:dyDescent="0.25">
      <c r="A1" s="25" t="s">
        <v>32</v>
      </c>
      <c r="B1" s="25" t="s">
        <v>33</v>
      </c>
      <c r="C1" s="25" t="s">
        <v>34</v>
      </c>
      <c r="D1" s="25" t="s">
        <v>43</v>
      </c>
      <c r="E1" s="25" t="s">
        <v>35</v>
      </c>
      <c r="F1" s="25" t="s">
        <v>36</v>
      </c>
      <c r="G1" s="25" t="s">
        <v>37</v>
      </c>
      <c r="H1" s="25" t="s">
        <v>24</v>
      </c>
      <c r="I1" s="25" t="s">
        <v>38</v>
      </c>
      <c r="J1" s="21" t="s">
        <v>54</v>
      </c>
    </row>
    <row r="2" spans="1:10" ht="288.75" customHeight="1" x14ac:dyDescent="0.2">
      <c r="A2" s="17" t="s">
        <v>55</v>
      </c>
      <c r="B2" s="17" t="s">
        <v>56</v>
      </c>
      <c r="C2" s="17" t="s">
        <v>58</v>
      </c>
      <c r="D2" s="17" t="s">
        <v>59</v>
      </c>
      <c r="E2" s="17" t="s">
        <v>39</v>
      </c>
      <c r="F2" s="17" t="s">
        <v>40</v>
      </c>
      <c r="G2" s="17" t="s">
        <v>40</v>
      </c>
      <c r="H2" s="17" t="s">
        <v>60</v>
      </c>
      <c r="I2" s="17" t="s">
        <v>61</v>
      </c>
    </row>
    <row r="3" spans="1:10" ht="288.75" customHeight="1" x14ac:dyDescent="0.2">
      <c r="A3" s="17" t="s">
        <v>63</v>
      </c>
      <c r="B3" s="17" t="s">
        <v>56</v>
      </c>
      <c r="C3" s="17" t="s">
        <v>64</v>
      </c>
      <c r="D3" s="17" t="s">
        <v>65</v>
      </c>
      <c r="E3" s="17" t="s">
        <v>39</v>
      </c>
      <c r="F3" s="17" t="s">
        <v>40</v>
      </c>
      <c r="G3" s="17" t="s">
        <v>40</v>
      </c>
      <c r="H3" s="17" t="s">
        <v>60</v>
      </c>
      <c r="I3" s="17" t="s">
        <v>61</v>
      </c>
    </row>
    <row r="4" spans="1:10" ht="288.75" customHeight="1" x14ac:dyDescent="0.2">
      <c r="A4" s="17"/>
      <c r="B4" s="17"/>
      <c r="C4" s="17"/>
      <c r="D4" s="17"/>
      <c r="E4" s="17"/>
      <c r="F4" s="17"/>
      <c r="G4" s="17"/>
      <c r="H4" s="17"/>
      <c r="I4" s="17"/>
    </row>
    <row r="5" spans="1:10" ht="288.75" customHeight="1" x14ac:dyDescent="0.2">
      <c r="A5" s="17"/>
      <c r="B5" s="17"/>
      <c r="C5" s="17"/>
      <c r="D5" s="17"/>
      <c r="E5" s="17"/>
      <c r="F5" s="17"/>
      <c r="G5" s="17"/>
      <c r="H5" s="17"/>
      <c r="I5" s="17"/>
    </row>
    <row r="6" spans="1:10" ht="295.5" customHeight="1" x14ac:dyDescent="0.2">
      <c r="A6" s="17"/>
      <c r="B6" s="17"/>
      <c r="C6" s="17"/>
      <c r="D6" s="17"/>
      <c r="E6" s="17"/>
      <c r="F6" s="17"/>
      <c r="G6" s="17"/>
      <c r="H6" s="17"/>
      <c r="I6" s="17"/>
    </row>
    <row r="7" spans="1:10" ht="255" customHeight="1" x14ac:dyDescent="0.2">
      <c r="A7" s="17"/>
      <c r="B7" s="17"/>
      <c r="C7" s="17"/>
      <c r="D7" s="17"/>
      <c r="E7" s="17"/>
      <c r="F7" s="17"/>
      <c r="G7" s="17"/>
      <c r="H7" s="17"/>
      <c r="I7" s="17"/>
    </row>
    <row r="8" spans="1:10" ht="296.25" customHeight="1" x14ac:dyDescent="0.2">
      <c r="A8" s="17"/>
      <c r="B8" s="17"/>
      <c r="C8" s="17"/>
      <c r="D8" s="17"/>
      <c r="E8" s="17"/>
      <c r="F8" s="17"/>
      <c r="G8" s="17"/>
      <c r="H8" s="17"/>
      <c r="I8" s="17"/>
    </row>
    <row r="9" spans="1:10" ht="293.25" customHeight="1" x14ac:dyDescent="0.2">
      <c r="A9" s="17"/>
      <c r="B9" s="17"/>
      <c r="C9" s="17"/>
      <c r="D9" s="17"/>
      <c r="E9" s="17"/>
      <c r="F9" s="17"/>
      <c r="G9" s="17"/>
      <c r="H9" s="17"/>
      <c r="I9" s="17"/>
    </row>
    <row r="10" spans="1:10" ht="174.75" customHeight="1" x14ac:dyDescent="0.2">
      <c r="A10" s="17"/>
      <c r="B10" s="17"/>
      <c r="C10" s="17"/>
      <c r="D10" s="17"/>
      <c r="E10" s="17"/>
      <c r="F10" s="17"/>
      <c r="G10" s="17"/>
      <c r="H10" s="17"/>
      <c r="I10" s="17"/>
    </row>
    <row r="11" spans="1:10" ht="321.75" customHeight="1" x14ac:dyDescent="0.2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357.75" customHeight="1" x14ac:dyDescent="0.2">
      <c r="A12" s="17"/>
      <c r="B12" s="18"/>
      <c r="C12" s="19"/>
      <c r="D12" s="20"/>
      <c r="E12" s="17"/>
      <c r="F12" s="17"/>
      <c r="G12" s="17"/>
      <c r="H12" s="17"/>
      <c r="I12" s="17"/>
    </row>
    <row r="13" spans="1:10" ht="234.75" customHeight="1" x14ac:dyDescent="0.2">
      <c r="A13" s="17"/>
      <c r="B13" s="18"/>
      <c r="C13" s="19"/>
      <c r="D13" s="20"/>
      <c r="E13" s="17"/>
      <c r="F13" s="17"/>
      <c r="G13" s="17"/>
      <c r="H13" s="17"/>
      <c r="I13" s="17"/>
    </row>
    <row r="14" spans="1:10" ht="167.25" customHeight="1" x14ac:dyDescent="0.2">
      <c r="A14" s="17"/>
      <c r="B14" s="17"/>
      <c r="C14" s="17"/>
      <c r="D14" s="17"/>
      <c r="E14" s="17"/>
      <c r="F14" s="17"/>
      <c r="G14" s="17"/>
      <c r="H14" s="17"/>
      <c r="I14" s="17"/>
    </row>
    <row r="15" spans="1:10" ht="138" customHeight="1" x14ac:dyDescent="0.2">
      <c r="A15" s="17"/>
      <c r="B15" s="17"/>
      <c r="C15" s="17"/>
      <c r="D15" s="17"/>
      <c r="E15" s="17"/>
      <c r="F15" s="17"/>
      <c r="G15" s="17"/>
    </row>
    <row r="16" spans="1:10" ht="15.75" customHeight="1" x14ac:dyDescent="0.2">
      <c r="B16" s="17"/>
      <c r="C16" s="17"/>
      <c r="D16" s="17"/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Scenarios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Jashmitha Maddala</dc:creator>
  <cp:lastModifiedBy>Neeraja Maddala</cp:lastModifiedBy>
  <dcterms:created xsi:type="dcterms:W3CDTF">2024-08-08T18:54:02Z</dcterms:created>
  <dcterms:modified xsi:type="dcterms:W3CDTF">2025-02-12T07:29:25Z</dcterms:modified>
</cp:coreProperties>
</file>